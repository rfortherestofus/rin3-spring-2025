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davidkeyes/Documents/Work/projects/rin3-spring-2025/data-raw/"/>
    </mc:Choice>
  </mc:AlternateContent>
  <xr:revisionPtr revIDLastSave="0" documentId="13_ncr:1_{D5BF94FE-EDD2-3245-997F-F6B213C07530}" xr6:coauthVersionLast="47" xr6:coauthVersionMax="47" xr10:uidLastSave="{00000000-0000-0000-0000-000000000000}"/>
  <bookViews>
    <workbookView xWindow="880" yWindow="500" windowWidth="37520" windowHeight="21100" activeTab="2" xr2:uid="{C3B41A98-E045-B641-B5DC-D433CA053FBE}"/>
  </bookViews>
  <sheets>
    <sheet name="Explainer" sheetId="1" r:id="rId1"/>
    <sheet name="Data_Dictionary" sheetId="2" r:id="rId2"/>
    <sheet name="Data" sheetId="3" r:id="rId3"/>
    <sheet name="Problems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9" i="3" l="1"/>
  <c r="W9" i="3" s="1"/>
  <c r="L10" i="3"/>
  <c r="W10" i="3" s="1"/>
  <c r="L11" i="3"/>
  <c r="W11" i="3" s="1"/>
  <c r="L12" i="3"/>
  <c r="W12" i="3" s="1"/>
  <c r="L13" i="3"/>
  <c r="W13" i="3" s="1"/>
  <c r="L14" i="3"/>
  <c r="W14" i="3" s="1"/>
  <c r="L15" i="3"/>
  <c r="W15" i="3" s="1"/>
  <c r="L16" i="3"/>
  <c r="W16" i="3" s="1"/>
  <c r="L17" i="3"/>
  <c r="W17" i="3" s="1"/>
  <c r="L18" i="3"/>
  <c r="W18" i="3" s="1"/>
  <c r="L19" i="3"/>
  <c r="W19" i="3" s="1"/>
  <c r="L20" i="3"/>
  <c r="W20" i="3" s="1"/>
  <c r="L21" i="3"/>
  <c r="W21" i="3" s="1"/>
  <c r="L22" i="3"/>
  <c r="L23" i="3"/>
  <c r="W23" i="3" s="1"/>
  <c r="L24" i="3"/>
  <c r="W24" i="3" s="1"/>
  <c r="L25" i="3"/>
  <c r="W25" i="3" s="1"/>
  <c r="L26" i="3"/>
  <c r="W26" i="3" s="1"/>
  <c r="L27" i="3"/>
  <c r="W27" i="3" s="1"/>
  <c r="L28" i="3"/>
  <c r="W28" i="3" s="1"/>
  <c r="L29" i="3"/>
  <c r="W29" i="3" s="1"/>
  <c r="L30" i="3"/>
  <c r="W30" i="3" s="1"/>
  <c r="L31" i="3"/>
  <c r="W31" i="3" s="1"/>
  <c r="L32" i="3"/>
  <c r="W32" i="3" s="1"/>
  <c r="L33" i="3"/>
  <c r="W33" i="3" s="1"/>
  <c r="L34" i="3"/>
  <c r="W34" i="3" s="1"/>
  <c r="L35" i="3"/>
  <c r="W35" i="3" s="1"/>
  <c r="L36" i="3"/>
  <c r="W36" i="3" s="1"/>
  <c r="L37" i="3"/>
  <c r="W37" i="3" s="1"/>
  <c r="L8" i="3"/>
  <c r="W8" i="3" s="1"/>
  <c r="K9" i="3"/>
  <c r="V9" i="3" s="1"/>
  <c r="K10" i="3"/>
  <c r="V10" i="3" s="1"/>
  <c r="K11" i="3"/>
  <c r="V11" i="3" s="1"/>
  <c r="K12" i="3"/>
  <c r="V12" i="3" s="1"/>
  <c r="K13" i="3"/>
  <c r="V13" i="3" s="1"/>
  <c r="K14" i="3"/>
  <c r="V14" i="3" s="1"/>
  <c r="K15" i="3"/>
  <c r="V15" i="3" s="1"/>
  <c r="K16" i="3"/>
  <c r="V16" i="3" s="1"/>
  <c r="K17" i="3"/>
  <c r="V17" i="3" s="1"/>
  <c r="K18" i="3"/>
  <c r="V18" i="3" s="1"/>
  <c r="K19" i="3"/>
  <c r="V19" i="3" s="1"/>
  <c r="K20" i="3"/>
  <c r="V20" i="3" s="1"/>
  <c r="K21" i="3"/>
  <c r="V21" i="3" s="1"/>
  <c r="K22" i="3"/>
  <c r="K23" i="3"/>
  <c r="V23" i="3" s="1"/>
  <c r="K24" i="3"/>
  <c r="V24" i="3" s="1"/>
  <c r="K25" i="3"/>
  <c r="V25" i="3" s="1"/>
  <c r="K26" i="3"/>
  <c r="V26" i="3" s="1"/>
  <c r="K27" i="3"/>
  <c r="V27" i="3" s="1"/>
  <c r="K28" i="3"/>
  <c r="V28" i="3" s="1"/>
  <c r="K29" i="3"/>
  <c r="V29" i="3" s="1"/>
  <c r="K30" i="3"/>
  <c r="V30" i="3" s="1"/>
  <c r="K31" i="3"/>
  <c r="V31" i="3" s="1"/>
  <c r="K32" i="3"/>
  <c r="V32" i="3" s="1"/>
  <c r="K33" i="3"/>
  <c r="V33" i="3" s="1"/>
  <c r="K34" i="3"/>
  <c r="V34" i="3" s="1"/>
  <c r="K35" i="3"/>
  <c r="V35" i="3" s="1"/>
  <c r="K36" i="3"/>
  <c r="V36" i="3" s="1"/>
  <c r="K37" i="3"/>
  <c r="V37" i="3" s="1"/>
  <c r="K8" i="3"/>
  <c r="V8" i="3" s="1"/>
  <c r="J9" i="3"/>
  <c r="U9" i="3" s="1"/>
  <c r="J10" i="3"/>
  <c r="U10" i="3" s="1"/>
  <c r="J11" i="3"/>
  <c r="U11" i="3" s="1"/>
  <c r="J12" i="3"/>
  <c r="U12" i="3" s="1"/>
  <c r="J13" i="3"/>
  <c r="U13" i="3" s="1"/>
  <c r="J14" i="3"/>
  <c r="U14" i="3" s="1"/>
  <c r="J15" i="3"/>
  <c r="U15" i="3" s="1"/>
  <c r="J16" i="3"/>
  <c r="U16" i="3" s="1"/>
  <c r="J17" i="3"/>
  <c r="U17" i="3" s="1"/>
  <c r="J18" i="3"/>
  <c r="U18" i="3" s="1"/>
  <c r="J19" i="3"/>
  <c r="U19" i="3" s="1"/>
  <c r="J20" i="3"/>
  <c r="U20" i="3" s="1"/>
  <c r="J21" i="3"/>
  <c r="U21" i="3" s="1"/>
  <c r="J22" i="3"/>
  <c r="U22" i="3" s="1"/>
  <c r="J23" i="3"/>
  <c r="U23" i="3" s="1"/>
  <c r="J24" i="3"/>
  <c r="U24" i="3" s="1"/>
  <c r="J25" i="3"/>
  <c r="U25" i="3" s="1"/>
  <c r="J26" i="3"/>
  <c r="U26" i="3" s="1"/>
  <c r="J27" i="3"/>
  <c r="U27" i="3" s="1"/>
  <c r="J28" i="3"/>
  <c r="U28" i="3" s="1"/>
  <c r="J29" i="3"/>
  <c r="U29" i="3" s="1"/>
  <c r="J30" i="3"/>
  <c r="U30" i="3" s="1"/>
  <c r="J31" i="3"/>
  <c r="U31" i="3" s="1"/>
  <c r="J32" i="3"/>
  <c r="U32" i="3" s="1"/>
  <c r="J33" i="3"/>
  <c r="U33" i="3" s="1"/>
  <c r="J34" i="3"/>
  <c r="U34" i="3" s="1"/>
  <c r="J35" i="3"/>
  <c r="U35" i="3" s="1"/>
  <c r="J36" i="3"/>
  <c r="U36" i="3" s="1"/>
  <c r="J37" i="3"/>
  <c r="U37" i="3" s="1"/>
  <c r="J8" i="3"/>
  <c r="U8" i="3" s="1"/>
  <c r="I9" i="3"/>
  <c r="T9" i="3" s="1"/>
  <c r="I10" i="3"/>
  <c r="T10" i="3" s="1"/>
  <c r="I11" i="3"/>
  <c r="T11" i="3" s="1"/>
  <c r="I12" i="3"/>
  <c r="T12" i="3" s="1"/>
  <c r="I13" i="3"/>
  <c r="T13" i="3" s="1"/>
  <c r="I14" i="3"/>
  <c r="T14" i="3" s="1"/>
  <c r="I15" i="3"/>
  <c r="T15" i="3" s="1"/>
  <c r="I16" i="3"/>
  <c r="T16" i="3" s="1"/>
  <c r="I17" i="3"/>
  <c r="T17" i="3" s="1"/>
  <c r="I18" i="3"/>
  <c r="T18" i="3" s="1"/>
  <c r="I19" i="3"/>
  <c r="T19" i="3" s="1"/>
  <c r="I20" i="3"/>
  <c r="T20" i="3" s="1"/>
  <c r="I21" i="3"/>
  <c r="T21" i="3" s="1"/>
  <c r="I22" i="3"/>
  <c r="T22" i="3" s="1"/>
  <c r="I23" i="3"/>
  <c r="T23" i="3" s="1"/>
  <c r="I24" i="3"/>
  <c r="T24" i="3" s="1"/>
  <c r="I25" i="3"/>
  <c r="T25" i="3" s="1"/>
  <c r="I26" i="3"/>
  <c r="T26" i="3" s="1"/>
  <c r="I27" i="3"/>
  <c r="T27" i="3" s="1"/>
  <c r="I28" i="3"/>
  <c r="T28" i="3" s="1"/>
  <c r="I29" i="3"/>
  <c r="T29" i="3" s="1"/>
  <c r="I30" i="3"/>
  <c r="T30" i="3" s="1"/>
  <c r="I31" i="3"/>
  <c r="T31" i="3" s="1"/>
  <c r="I32" i="3"/>
  <c r="T32" i="3" s="1"/>
  <c r="I33" i="3"/>
  <c r="T33" i="3" s="1"/>
  <c r="I34" i="3"/>
  <c r="T34" i="3" s="1"/>
  <c r="I35" i="3"/>
  <c r="T35" i="3" s="1"/>
  <c r="I36" i="3"/>
  <c r="T36" i="3" s="1"/>
  <c r="I37" i="3"/>
  <c r="T37" i="3" s="1"/>
  <c r="I8" i="3"/>
  <c r="T8" i="3" s="1"/>
  <c r="H9" i="3"/>
  <c r="S9" i="3" s="1"/>
  <c r="H10" i="3"/>
  <c r="S10" i="3" s="1"/>
  <c r="H11" i="3"/>
  <c r="S11" i="3" s="1"/>
  <c r="H12" i="3"/>
  <c r="S12" i="3" s="1"/>
  <c r="H13" i="3"/>
  <c r="S13" i="3" s="1"/>
  <c r="H14" i="3"/>
  <c r="S14" i="3" s="1"/>
  <c r="H15" i="3"/>
  <c r="S15" i="3" s="1"/>
  <c r="H16" i="3"/>
  <c r="S16" i="3" s="1"/>
  <c r="H17" i="3"/>
  <c r="S17" i="3" s="1"/>
  <c r="H18" i="3"/>
  <c r="S18" i="3" s="1"/>
  <c r="H19" i="3"/>
  <c r="S19" i="3" s="1"/>
  <c r="H20" i="3"/>
  <c r="S20" i="3" s="1"/>
  <c r="H21" i="3"/>
  <c r="S21" i="3" s="1"/>
  <c r="H22" i="3"/>
  <c r="S22" i="3" s="1"/>
  <c r="H23" i="3"/>
  <c r="S23" i="3" s="1"/>
  <c r="H24" i="3"/>
  <c r="S24" i="3" s="1"/>
  <c r="H25" i="3"/>
  <c r="S25" i="3" s="1"/>
  <c r="H26" i="3"/>
  <c r="S26" i="3" s="1"/>
  <c r="H27" i="3"/>
  <c r="S27" i="3" s="1"/>
  <c r="H28" i="3"/>
  <c r="S28" i="3" s="1"/>
  <c r="H29" i="3"/>
  <c r="S29" i="3" s="1"/>
  <c r="H30" i="3"/>
  <c r="S30" i="3" s="1"/>
  <c r="H31" i="3"/>
  <c r="S31" i="3" s="1"/>
  <c r="H32" i="3"/>
  <c r="S32" i="3" s="1"/>
  <c r="H33" i="3"/>
  <c r="S33" i="3" s="1"/>
  <c r="H34" i="3"/>
  <c r="S34" i="3" s="1"/>
  <c r="H35" i="3"/>
  <c r="S35" i="3" s="1"/>
  <c r="H36" i="3"/>
  <c r="S36" i="3" s="1"/>
  <c r="H37" i="3"/>
  <c r="S37" i="3" s="1"/>
  <c r="H8" i="3"/>
  <c r="S8" i="3" s="1"/>
  <c r="G9" i="3"/>
  <c r="R9" i="3" s="1"/>
  <c r="G10" i="3"/>
  <c r="R10" i="3" s="1"/>
  <c r="G11" i="3"/>
  <c r="R11" i="3" s="1"/>
  <c r="G12" i="3"/>
  <c r="R12" i="3" s="1"/>
  <c r="G13" i="3"/>
  <c r="R13" i="3" s="1"/>
  <c r="G14" i="3"/>
  <c r="R14" i="3" s="1"/>
  <c r="G15" i="3"/>
  <c r="R15" i="3" s="1"/>
  <c r="G16" i="3"/>
  <c r="R16" i="3" s="1"/>
  <c r="G17" i="3"/>
  <c r="R17" i="3" s="1"/>
  <c r="G18" i="3"/>
  <c r="R18" i="3" s="1"/>
  <c r="G19" i="3"/>
  <c r="R19" i="3" s="1"/>
  <c r="G20" i="3"/>
  <c r="R20" i="3" s="1"/>
  <c r="G21" i="3"/>
  <c r="R21" i="3" s="1"/>
  <c r="G22" i="3"/>
  <c r="R22" i="3" s="1"/>
  <c r="G23" i="3"/>
  <c r="R23" i="3" s="1"/>
  <c r="G24" i="3"/>
  <c r="R24" i="3" s="1"/>
  <c r="G25" i="3"/>
  <c r="R25" i="3" s="1"/>
  <c r="G26" i="3"/>
  <c r="R26" i="3" s="1"/>
  <c r="G27" i="3"/>
  <c r="R27" i="3" s="1"/>
  <c r="G28" i="3"/>
  <c r="R28" i="3" s="1"/>
  <c r="G29" i="3"/>
  <c r="R29" i="3" s="1"/>
  <c r="G30" i="3"/>
  <c r="R30" i="3" s="1"/>
  <c r="G31" i="3"/>
  <c r="R31" i="3" s="1"/>
  <c r="G32" i="3"/>
  <c r="R32" i="3" s="1"/>
  <c r="G33" i="3"/>
  <c r="R33" i="3" s="1"/>
  <c r="G34" i="3"/>
  <c r="R34" i="3" s="1"/>
  <c r="G35" i="3"/>
  <c r="R35" i="3" s="1"/>
  <c r="G36" i="3"/>
  <c r="R36" i="3" s="1"/>
  <c r="G37" i="3"/>
  <c r="R37" i="3" s="1"/>
  <c r="G8" i="3"/>
  <c r="R8" i="3" s="1"/>
  <c r="AA9" i="3"/>
  <c r="AA10" i="3"/>
  <c r="AA11" i="3"/>
  <c r="AA12" i="3"/>
  <c r="AA13" i="3"/>
  <c r="AA14" i="3"/>
  <c r="AA15" i="3"/>
  <c r="AA16" i="3"/>
  <c r="AA17" i="3"/>
  <c r="AA18" i="3"/>
  <c r="AA19" i="3"/>
  <c r="AA20" i="3"/>
  <c r="AA21" i="3"/>
  <c r="AA22" i="3"/>
  <c r="AA23" i="3"/>
  <c r="AA25" i="3"/>
  <c r="AA26" i="3"/>
  <c r="AA27" i="3"/>
  <c r="AA28" i="3"/>
  <c r="AA29" i="3"/>
  <c r="AA30" i="3"/>
  <c r="AA31" i="3"/>
  <c r="AA32" i="3"/>
  <c r="AA34" i="3"/>
  <c r="AA35" i="3"/>
  <c r="AA36" i="3"/>
  <c r="AA37" i="3"/>
  <c r="AA8" i="3"/>
  <c r="X9" i="3"/>
  <c r="X11" i="3"/>
  <c r="X13" i="3"/>
  <c r="X14" i="3"/>
  <c r="X16" i="3"/>
  <c r="X18" i="3"/>
  <c r="X19" i="3"/>
  <c r="X20" i="3"/>
  <c r="X22" i="3"/>
  <c r="X23" i="3"/>
  <c r="X24" i="3"/>
  <c r="X26" i="3"/>
  <c r="X27" i="3"/>
  <c r="X29" i="3"/>
  <c r="X31" i="3"/>
  <c r="X32" i="3"/>
  <c r="X33" i="3"/>
  <c r="X36" i="3"/>
  <c r="X37" i="3"/>
  <c r="X8" i="3"/>
</calcChain>
</file>

<file path=xl/sharedStrings.xml><?xml version="1.0" encoding="utf-8"?>
<sst xmlns="http://schemas.openxmlformats.org/spreadsheetml/2006/main" count="453" uniqueCount="284">
  <si>
    <t>Your well-meaning research assistant/med student has extracted data from the medical record into Excel</t>
  </si>
  <si>
    <t>points</t>
  </si>
  <si>
    <t>This is for an observational study, comparing 3 treatments of ulcerative colitis (UC)</t>
  </si>
  <si>
    <t>pat_id</t>
  </si>
  <si>
    <t>Patient Identifier</t>
  </si>
  <si>
    <t>treatment</t>
  </si>
  <si>
    <t>Treatment for UC</t>
  </si>
  <si>
    <t>Date of start of treatment</t>
  </si>
  <si>
    <t>start_mes</t>
  </si>
  <si>
    <t>Mayo endoscopic Score at start of treatment</t>
  </si>
  <si>
    <t>start_date</t>
  </si>
  <si>
    <t>start_bss</t>
  </si>
  <si>
    <t>start_emo</t>
  </si>
  <si>
    <t>start_coping</t>
  </si>
  <si>
    <t>start_sys</t>
  </si>
  <si>
    <t>start_abd</t>
  </si>
  <si>
    <t>start_dl</t>
  </si>
  <si>
    <t>ethnic</t>
  </si>
  <si>
    <t>race</t>
  </si>
  <si>
    <t>dob</t>
  </si>
  <si>
    <t>start_wbc</t>
  </si>
  <si>
    <t>start_plt</t>
  </si>
  <si>
    <t>start_na</t>
  </si>
  <si>
    <t>start_k</t>
  </si>
  <si>
    <t>start_bp</t>
  </si>
  <si>
    <t>pre/post_wt_kg</t>
  </si>
  <si>
    <t>end_month</t>
  </si>
  <si>
    <t>end_day</t>
  </si>
  <si>
    <t>end_year</t>
  </si>
  <si>
    <t>end_mes</t>
  </si>
  <si>
    <t>end_bss</t>
  </si>
  <si>
    <t>end_abd</t>
  </si>
  <si>
    <t>end_sys</t>
  </si>
  <si>
    <t>end_coping</t>
  </si>
  <si>
    <t>end_emo</t>
  </si>
  <si>
    <t>end_dl</t>
  </si>
  <si>
    <t>end_plt</t>
  </si>
  <si>
    <t>end_wbc</t>
  </si>
  <si>
    <t>end_na</t>
  </si>
  <si>
    <t>end_k</t>
  </si>
  <si>
    <t>Ethnicity - hispanic or not hispanic</t>
  </si>
  <si>
    <t>Race - one of 7 choices</t>
  </si>
  <si>
    <t>date of birth</t>
  </si>
  <si>
    <t>blood pressure at start - systolic/diastolic</t>
  </si>
  <si>
    <t>Bowel symptom score at start</t>
  </si>
  <si>
    <t>Abdominal symptom score at start</t>
  </si>
  <si>
    <t>Systemic symptom score at start</t>
  </si>
  <si>
    <t>Coping score at start</t>
  </si>
  <si>
    <t>Emotional symptom score at start</t>
  </si>
  <si>
    <t>Impact on Daily living score at start</t>
  </si>
  <si>
    <t>Sodium level in serum at start</t>
  </si>
  <si>
    <t>Potassium level in serum at start</t>
  </si>
  <si>
    <t>Month of end visit</t>
  </si>
  <si>
    <t>Day of end visit</t>
  </si>
  <si>
    <t>Year of end visit</t>
  </si>
  <si>
    <t>Mayo endoscopic Score at end of treatment</t>
  </si>
  <si>
    <t>Bowel symptom score at end</t>
  </si>
  <si>
    <t>Systemic symptom score at end</t>
  </si>
  <si>
    <t>Abdominal symptom score at end</t>
  </si>
  <si>
    <t>Coping score at end</t>
  </si>
  <si>
    <t>Emotional symptom score at end</t>
  </si>
  <si>
    <t>Impact on Daily living score at end</t>
  </si>
  <si>
    <t>White blood cell count in blood at start</t>
  </si>
  <si>
    <t>Platelet count in blood at start</t>
  </si>
  <si>
    <t>White blood cell count in blood at end</t>
  </si>
  <si>
    <t>Platelet count in blood at end</t>
  </si>
  <si>
    <t>Sodium level in serum at end</t>
  </si>
  <si>
    <t>Potassium level in serum at end</t>
  </si>
  <si>
    <t>weight in kilograms at start/end</t>
  </si>
  <si>
    <t>Variable</t>
  </si>
  <si>
    <t>Details</t>
  </si>
  <si>
    <t>Units</t>
  </si>
  <si>
    <t>Range</t>
  </si>
  <si>
    <t>mEq/L</t>
  </si>
  <si>
    <t>3.5-5.5</t>
  </si>
  <si>
    <t>135-245</t>
  </si>
  <si>
    <t>mmol/L</t>
  </si>
  <si>
    <t>150-400</t>
  </si>
  <si>
    <t>10^9/L</t>
  </si>
  <si>
    <t>4.5-11</t>
  </si>
  <si>
    <t>0-3</t>
  </si>
  <si>
    <t>month</t>
  </si>
  <si>
    <t>day</t>
  </si>
  <si>
    <t>year</t>
  </si>
  <si>
    <t>1931-2005</t>
  </si>
  <si>
    <t>hispanic, not hispanic</t>
  </si>
  <si>
    <t>YYYY-MM-DD</t>
  </si>
  <si>
    <t>digits</t>
  </si>
  <si>
    <t>upadacitinib, ustekinumab, ozanimod</t>
  </si>
  <si>
    <t>001-030</t>
  </si>
  <si>
    <t>mm Hg</t>
  </si>
  <si>
    <t>kilograms</t>
  </si>
  <si>
    <t>48-157</t>
  </si>
  <si>
    <t>1-12</t>
  </si>
  <si>
    <t>1-31</t>
  </si>
  <si>
    <t>001</t>
  </si>
  <si>
    <t>002</t>
  </si>
  <si>
    <t>003</t>
  </si>
  <si>
    <t>004</t>
  </si>
  <si>
    <t>005</t>
  </si>
  <si>
    <t>006</t>
  </si>
  <si>
    <t>007</t>
  </si>
  <si>
    <t>008</t>
  </si>
  <si>
    <t>009</t>
  </si>
  <si>
    <t>010</t>
  </si>
  <si>
    <t>011</t>
  </si>
  <si>
    <t>012</t>
  </si>
  <si>
    <t>013</t>
  </si>
  <si>
    <t>014</t>
  </si>
  <si>
    <t>015</t>
  </si>
  <si>
    <t>016</t>
  </si>
  <si>
    <t>017</t>
  </si>
  <si>
    <t>018</t>
  </si>
  <si>
    <t>019</t>
  </si>
  <si>
    <t>020</t>
  </si>
  <si>
    <t>021</t>
  </si>
  <si>
    <t>022</t>
  </si>
  <si>
    <t>023</t>
  </si>
  <si>
    <t>024</t>
  </si>
  <si>
    <t>025</t>
  </si>
  <si>
    <t>026</t>
  </si>
  <si>
    <t>027</t>
  </si>
  <si>
    <t>028</t>
  </si>
  <si>
    <t>029</t>
  </si>
  <si>
    <t>030</t>
  </si>
  <si>
    <t>upa</t>
  </si>
  <si>
    <t>uste</t>
  </si>
  <si>
    <t>oza</t>
  </si>
  <si>
    <t>hispanic</t>
  </si>
  <si>
    <t>not hispanic</t>
  </si>
  <si>
    <t>Hispanic</t>
  </si>
  <si>
    <t>NOT hispanic</t>
  </si>
  <si>
    <t>hispamnic</t>
  </si>
  <si>
    <t>UC Retrospective Study</t>
  </si>
  <si>
    <t>Comparing Upa, Uste, Oza</t>
  </si>
  <si>
    <t>6m Rx</t>
  </si>
  <si>
    <t>hemolyzed</t>
  </si>
  <si>
    <t>clumped</t>
  </si>
  <si>
    <t>84/82</t>
  </si>
  <si>
    <t>77/77</t>
  </si>
  <si>
    <t>74/75</t>
  </si>
  <si>
    <t>66/65</t>
  </si>
  <si>
    <t>55/56</t>
  </si>
  <si>
    <t>111/110</t>
  </si>
  <si>
    <t>133/130</t>
  </si>
  <si>
    <t>74/76</t>
  </si>
  <si>
    <t>82/80</t>
  </si>
  <si>
    <t>85/87</t>
  </si>
  <si>
    <t>88/88</t>
  </si>
  <si>
    <t>89/90</t>
  </si>
  <si>
    <t>85/78</t>
  </si>
  <si>
    <t>84/84</t>
  </si>
  <si>
    <t>78/79</t>
  </si>
  <si>
    <t>88/86</t>
  </si>
  <si>
    <t>76/75</t>
  </si>
  <si>
    <t>92/90</t>
  </si>
  <si>
    <t>102/101</t>
  </si>
  <si>
    <t>75/73</t>
  </si>
  <si>
    <t>55/53</t>
  </si>
  <si>
    <t>61/59</t>
  </si>
  <si>
    <t>58/60</t>
  </si>
  <si>
    <t>54/121</t>
  </si>
  <si>
    <t>62/62</t>
  </si>
  <si>
    <t>64/63</t>
  </si>
  <si>
    <t>57/56</t>
  </si>
  <si>
    <t>63/61</t>
  </si>
  <si>
    <t>caucasian, african-american, asian, hawaiian or other pacific islander, american indian or alaska native, mixed, other</t>
  </si>
  <si>
    <t>Caucasian</t>
  </si>
  <si>
    <t>African-American</t>
  </si>
  <si>
    <t>Mixed</t>
  </si>
  <si>
    <t>Other</t>
  </si>
  <si>
    <t>Asian</t>
  </si>
  <si>
    <t>afromerican</t>
  </si>
  <si>
    <t>Hawaiian</t>
  </si>
  <si>
    <t>H/API</t>
  </si>
  <si>
    <t>Variables and Corresponding Problems</t>
  </si>
  <si>
    <t>Problem</t>
  </si>
  <si>
    <t>Variables</t>
  </si>
  <si>
    <t>ethnic, race</t>
  </si>
  <si>
    <t>Categories with typos</t>
  </si>
  <si>
    <t>text in numeric data</t>
  </si>
  <si>
    <t>k, plt</t>
  </si>
  <si>
    <t>reding in excel dates</t>
  </si>
  <si>
    <t>unifying split columns</t>
  </si>
  <si>
    <t xml:space="preserve">end_date pieces, address pieces </t>
  </si>
  <si>
    <t>separating data</t>
  </si>
  <si>
    <t>BP into systolic and diastolic BP, pre/post wt in kg</t>
  </si>
  <si>
    <t>NA</t>
  </si>
  <si>
    <t>Extra header lines at top of sheet</t>
  </si>
  <si>
    <t>janitor::clean_names</t>
  </si>
  <si>
    <t>Start Abd score</t>
  </si>
  <si>
    <t>Daily Life impact score at start</t>
  </si>
  <si>
    <t>Start Abd score, Daliy Life score, pre/post wt</t>
  </si>
  <si>
    <t>BP, WBC</t>
  </si>
  <si>
    <t>add units mmHg, cells per 10^9</t>
  </si>
  <si>
    <t>encoded meaning -99 for not collected</t>
  </si>
  <si>
    <t>end_na, end_k</t>
  </si>
  <si>
    <t>out of range values</t>
  </si>
  <si>
    <t>start_wbc, start_plt</t>
  </si>
  <si>
    <t>missing values</t>
  </si>
  <si>
    <t>not done</t>
  </si>
  <si>
    <t>end_emo, end_dl</t>
  </si>
  <si>
    <t>Assorted problems are found when you try to read this in</t>
  </si>
  <si>
    <t>Goal: are there differences in change in MES, QOL scores between start and finish, and are the decreases in scores (a good thing) greater for any of the 3 new medications</t>
  </si>
  <si>
    <t>0-100</t>
  </si>
  <si>
    <t>QOL score - high scores are bad</t>
  </si>
  <si>
    <t>systolic 90-160, diastolic 50-120 (above 140/90 should be treated)</t>
  </si>
  <si>
    <t>AmerInd</t>
  </si>
  <si>
    <t>dob, start_date - fix with janitor::excel_numeric_to_date</t>
  </si>
  <si>
    <t>empty rows and columns</t>
  </si>
  <si>
    <t xml:space="preserve"> one of each, janitor::remove_empty</t>
  </si>
  <si>
    <t>extraneous color coding</t>
  </si>
  <si>
    <t>treatment names - do not actually need to be fixed in this one</t>
  </si>
  <si>
    <t>with the endpoints of Mayo Endoscopic Score (MES), and QOL scores like coping score, bowel symptom score, and emotional score</t>
  </si>
  <si>
    <t>273K/microL</t>
  </si>
  <si>
    <t>414K/microL</t>
  </si>
  <si>
    <t>323K/microL</t>
  </si>
  <si>
    <t>389K/microL</t>
  </si>
  <si>
    <t>411K/microL</t>
  </si>
  <si>
    <t>427K/microL</t>
  </si>
  <si>
    <t>249K/microL</t>
  </si>
  <si>
    <t>197K/microL</t>
  </si>
  <si>
    <t>204K/microL</t>
  </si>
  <si>
    <t>305K/microL</t>
  </si>
  <si>
    <t>347K/microL</t>
  </si>
  <si>
    <t>402K/microL</t>
  </si>
  <si>
    <t>432K/microL</t>
  </si>
  <si>
    <t>288K/microL</t>
  </si>
  <si>
    <t>177K/microL</t>
  </si>
  <si>
    <t>290K/microL</t>
  </si>
  <si>
    <t>312K/microL</t>
  </si>
  <si>
    <t>399K/microL</t>
  </si>
  <si>
    <t>423K/microL</t>
  </si>
  <si>
    <t>258K/microL</t>
  </si>
  <si>
    <t>115K/microL</t>
  </si>
  <si>
    <t>1550K/microL</t>
  </si>
  <si>
    <t>37K/microL</t>
  </si>
  <si>
    <t>188K/microL</t>
  </si>
  <si>
    <t>456K/microL</t>
  </si>
  <si>
    <t>356K/microL</t>
  </si>
  <si>
    <t>291K/microL</t>
  </si>
  <si>
    <t>137mmol/L</t>
  </si>
  <si>
    <t>142mmol/L</t>
  </si>
  <si>
    <t>140mmol/L</t>
  </si>
  <si>
    <t>139mmol/L</t>
  </si>
  <si>
    <t>144mmol/L</t>
  </si>
  <si>
    <t>145mmol/L</t>
  </si>
  <si>
    <t>138mmol/L</t>
  </si>
  <si>
    <t>143mmol/L</t>
  </si>
  <si>
    <t>136mmol/L</t>
  </si>
  <si>
    <t>135mmol/L</t>
  </si>
  <si>
    <t>141mmol/L</t>
  </si>
  <si>
    <t>133mmol/L</t>
  </si>
  <si>
    <t>address</t>
  </si>
  <si>
    <t>990 Mohammad Mountain North Sigmundville New Mexico 96074</t>
  </si>
  <si>
    <t>8512 O'Connell Valley Port Halstad Missouri 11264</t>
  </si>
  <si>
    <t>777 Ledner Mall Croninton South Carolina 57246</t>
  </si>
  <si>
    <t>690 Andres Village South Isaac Montana 31457</t>
  </si>
  <si>
    <t>6791 Jayden Summit Jacobstown Idaho 30711</t>
  </si>
  <si>
    <t>6390 Runolfsdottir Shoal McGlynnhaven New Hampshire 52722</t>
  </si>
  <si>
    <t>622 Pascale Dale New Janessa Indiana 48086</t>
  </si>
  <si>
    <t>61586 Murray Court New Freedaborough Montana 50784</t>
  </si>
  <si>
    <t>5591 Mattie Port East Esperanzatown Texas 64711</t>
  </si>
  <si>
    <t>48408 Legros Loop East Lolitaville Utah 33707</t>
  </si>
  <si>
    <t>4722 Sauer Village Hermistonland New York 69601</t>
  </si>
  <si>
    <t>451 Bertrand Garden Armandfort Nevada 53356</t>
  </si>
  <si>
    <t>43995 Bartell Freeway West Wendy Missouri 32865</t>
  </si>
  <si>
    <t>396 Ramona Radial Lacymouth Nebraska 56772</t>
  </si>
  <si>
    <t>354 Trudie Canyon Keelyview Massachusetts 72594</t>
  </si>
  <si>
    <t>3326 Gerald Flats Cassinton Missouri 29884</t>
  </si>
  <si>
    <t>287 Schamberger Valleys Bernieton Alaska 72529</t>
  </si>
  <si>
    <t>276 Shanahan Rapids West Alekfurt Ohio 76681</t>
  </si>
  <si>
    <t>2625 Boris Shoal East Estella Texas 98151</t>
  </si>
  <si>
    <t>242 Alexandre Fort Hudsonton Tennessee 33709</t>
  </si>
  <si>
    <t>240 Robel Harbor Port Destini New Hampshire 47006</t>
  </si>
  <si>
    <t>21313 Lindgren Expressway Alexanneside New Mexico 55577</t>
  </si>
  <si>
    <t>21096 Hansen Vista Lake Otisside Florida 41981</t>
  </si>
  <si>
    <t>207 Leanne Loaf Millershire Hawaii 85050</t>
  </si>
  <si>
    <t>202 Schroeder Park Romagueramouth New Hampshire 41049</t>
  </si>
  <si>
    <t>1802 Graham Knolls New Foster Kansas 82799</t>
  </si>
  <si>
    <t>178 Eleazar Spur South Muhammadland Indiana 72572</t>
  </si>
  <si>
    <t>157 Grimes Mall Haagshire Alabama 49770</t>
  </si>
  <si>
    <t>99 Angelo Village East Cleve Virginia 34404</t>
  </si>
  <si>
    <t>62 Legros Cape West Julesbury New Hampshire 10316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</si>
</sst>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2"/>
      <color theme="1"/>
      <name val="Calibri"/>
      <family val="2"/>
      <scheme val="minor"/>
    </font>
    <font>
      <sz val="12"/>
      <color rgb="FFFF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8"/>
      <name val="Calibri"/>
      <family val="2"/>
      <scheme val="minor"/>
    </font>
    <font>
      <sz val="11"/>
      <color rgb="FF000000"/>
      <name val="Lucida Grande"/>
      <family val="2"/>
    </font>
    <font>
      <sz val="12"/>
      <color theme="4"/>
      <name val="Calibri"/>
      <family val="2"/>
      <scheme val="minor"/>
    </font>
    <font>
      <sz val="12"/>
      <color rgb="FF7030A0"/>
      <name val="Calibri"/>
      <family val="2"/>
      <scheme val="minor"/>
    </font>
    <font>
      <sz val="12"/>
      <color rgb="FF0070C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0" xfId="0" applyFont="1"/>
    <xf numFmtId="49" fontId="0" fillId="0" borderId="0" xfId="0" quotePrefix="1" applyNumberFormat="1"/>
    <xf numFmtId="0" fontId="0" fillId="0" borderId="0" xfId="0" quotePrefix="1"/>
    <xf numFmtId="0" fontId="4" fillId="0" borderId="0" xfId="0" applyFont="1"/>
    <xf numFmtId="164" fontId="0" fillId="0" borderId="0" xfId="0" applyNumberFormat="1"/>
    <xf numFmtId="1" fontId="0" fillId="0" borderId="0" xfId="0" applyNumberFormat="1"/>
    <xf numFmtId="0" fontId="1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480B8B-969F-E742-8325-95F43BEF8E81}">
  <dimension ref="A1:A7"/>
  <sheetViews>
    <sheetView workbookViewId="0">
      <selection activeCell="A7" sqref="A7"/>
    </sheetView>
  </sheetViews>
  <sheetFormatPr baseColWidth="10" defaultColWidth="10.6640625" defaultRowHeight="16" x14ac:dyDescent="0.2"/>
  <sheetData>
    <row r="1" spans="1:1" x14ac:dyDescent="0.2">
      <c r="A1" t="s">
        <v>0</v>
      </c>
    </row>
    <row r="2" spans="1:1" x14ac:dyDescent="0.2">
      <c r="A2" t="s">
        <v>2</v>
      </c>
    </row>
    <row r="3" spans="1:1" x14ac:dyDescent="0.2">
      <c r="A3" t="s">
        <v>213</v>
      </c>
    </row>
    <row r="5" spans="1:1" x14ac:dyDescent="0.2">
      <c r="A5" t="s">
        <v>202</v>
      </c>
    </row>
    <row r="7" spans="1:1" x14ac:dyDescent="0.2">
      <c r="A7" t="s">
        <v>203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62C6B0-1CE9-F542-AE26-5D7043923353}">
  <dimension ref="A1:E34"/>
  <sheetViews>
    <sheetView workbookViewId="0">
      <selection activeCell="B29" sqref="B29"/>
    </sheetView>
  </sheetViews>
  <sheetFormatPr baseColWidth="10" defaultColWidth="10.6640625" defaultRowHeight="16" x14ac:dyDescent="0.2"/>
  <cols>
    <col min="1" max="1" width="17.83203125" customWidth="1"/>
    <col min="2" max="2" width="43.33203125" customWidth="1"/>
  </cols>
  <sheetData>
    <row r="1" spans="1:5" x14ac:dyDescent="0.2">
      <c r="A1" t="s">
        <v>69</v>
      </c>
      <c r="B1" t="s">
        <v>70</v>
      </c>
      <c r="C1" t="s">
        <v>71</v>
      </c>
      <c r="D1" t="s">
        <v>72</v>
      </c>
    </row>
    <row r="2" spans="1:5" x14ac:dyDescent="0.2">
      <c r="A2" t="s">
        <v>3</v>
      </c>
      <c r="B2" t="s">
        <v>4</v>
      </c>
      <c r="C2" t="s">
        <v>87</v>
      </c>
      <c r="D2" t="s">
        <v>89</v>
      </c>
    </row>
    <row r="3" spans="1:5" x14ac:dyDescent="0.2">
      <c r="A3" t="s">
        <v>5</v>
      </c>
      <c r="B3" t="s">
        <v>6</v>
      </c>
      <c r="D3" t="s">
        <v>88</v>
      </c>
    </row>
    <row r="4" spans="1:5" x14ac:dyDescent="0.2">
      <c r="A4" t="s">
        <v>10</v>
      </c>
      <c r="B4" t="s">
        <v>7</v>
      </c>
      <c r="C4" t="s">
        <v>87</v>
      </c>
      <c r="D4" t="s">
        <v>86</v>
      </c>
    </row>
    <row r="5" spans="1:5" x14ac:dyDescent="0.2">
      <c r="A5" t="s">
        <v>17</v>
      </c>
      <c r="B5" t="s">
        <v>40</v>
      </c>
      <c r="D5" t="s">
        <v>85</v>
      </c>
    </row>
    <row r="6" spans="1:5" x14ac:dyDescent="0.2">
      <c r="A6" t="s">
        <v>18</v>
      </c>
      <c r="B6" t="s">
        <v>41</v>
      </c>
      <c r="D6" t="s">
        <v>166</v>
      </c>
    </row>
    <row r="7" spans="1:5" x14ac:dyDescent="0.2">
      <c r="A7" t="s">
        <v>19</v>
      </c>
      <c r="B7" t="s">
        <v>42</v>
      </c>
      <c r="C7" t="s">
        <v>87</v>
      </c>
      <c r="D7" t="s">
        <v>86</v>
      </c>
    </row>
    <row r="8" spans="1:5" x14ac:dyDescent="0.2">
      <c r="A8" t="s">
        <v>24</v>
      </c>
      <c r="B8" t="s">
        <v>43</v>
      </c>
      <c r="C8" t="s">
        <v>90</v>
      </c>
      <c r="D8" t="s">
        <v>206</v>
      </c>
    </row>
    <row r="9" spans="1:5" x14ac:dyDescent="0.2">
      <c r="A9" t="s">
        <v>25</v>
      </c>
      <c r="B9" t="s">
        <v>68</v>
      </c>
      <c r="C9" t="s">
        <v>91</v>
      </c>
      <c r="D9" t="s">
        <v>92</v>
      </c>
    </row>
    <row r="10" spans="1:5" x14ac:dyDescent="0.2">
      <c r="A10" t="s">
        <v>8</v>
      </c>
      <c r="B10" t="s">
        <v>9</v>
      </c>
      <c r="C10" t="s">
        <v>1</v>
      </c>
      <c r="D10" t="s">
        <v>80</v>
      </c>
    </row>
    <row r="11" spans="1:5" x14ac:dyDescent="0.2">
      <c r="A11" t="s">
        <v>11</v>
      </c>
      <c r="B11" t="s">
        <v>44</v>
      </c>
      <c r="C11" t="s">
        <v>1</v>
      </c>
      <c r="D11" t="s">
        <v>204</v>
      </c>
      <c r="E11" t="s">
        <v>205</v>
      </c>
    </row>
    <row r="12" spans="1:5" x14ac:dyDescent="0.2">
      <c r="A12" t="s">
        <v>15</v>
      </c>
      <c r="B12" t="s">
        <v>45</v>
      </c>
      <c r="C12" t="s">
        <v>1</v>
      </c>
      <c r="D12" t="s">
        <v>204</v>
      </c>
      <c r="E12" t="s">
        <v>205</v>
      </c>
    </row>
    <row r="13" spans="1:5" x14ac:dyDescent="0.2">
      <c r="A13" t="s">
        <v>14</v>
      </c>
      <c r="B13" t="s">
        <v>46</v>
      </c>
      <c r="C13" t="s">
        <v>1</v>
      </c>
      <c r="D13" t="s">
        <v>204</v>
      </c>
      <c r="E13" t="s">
        <v>205</v>
      </c>
    </row>
    <row r="14" spans="1:5" x14ac:dyDescent="0.2">
      <c r="A14" t="s">
        <v>13</v>
      </c>
      <c r="B14" s="1" t="s">
        <v>47</v>
      </c>
      <c r="C14" t="s">
        <v>1</v>
      </c>
      <c r="D14" t="s">
        <v>204</v>
      </c>
      <c r="E14" t="s">
        <v>205</v>
      </c>
    </row>
    <row r="15" spans="1:5" x14ac:dyDescent="0.2">
      <c r="A15" t="s">
        <v>12</v>
      </c>
      <c r="B15" s="1" t="s">
        <v>48</v>
      </c>
      <c r="C15" t="s">
        <v>1</v>
      </c>
      <c r="D15" t="s">
        <v>204</v>
      </c>
      <c r="E15" t="s">
        <v>205</v>
      </c>
    </row>
    <row r="16" spans="1:5" x14ac:dyDescent="0.2">
      <c r="A16" t="s">
        <v>16</v>
      </c>
      <c r="B16" t="s">
        <v>49</v>
      </c>
      <c r="C16" t="s">
        <v>1</v>
      </c>
      <c r="D16" t="s">
        <v>204</v>
      </c>
      <c r="E16" t="s">
        <v>205</v>
      </c>
    </row>
    <row r="17" spans="1:5" x14ac:dyDescent="0.2">
      <c r="A17" t="s">
        <v>20</v>
      </c>
      <c r="B17" t="s">
        <v>62</v>
      </c>
      <c r="C17" t="s">
        <v>78</v>
      </c>
      <c r="D17" t="s">
        <v>79</v>
      </c>
    </row>
    <row r="18" spans="1:5" x14ac:dyDescent="0.2">
      <c r="A18" t="s">
        <v>21</v>
      </c>
      <c r="B18" t="s">
        <v>63</v>
      </c>
      <c r="C18" t="s">
        <v>78</v>
      </c>
      <c r="D18" t="s">
        <v>77</v>
      </c>
    </row>
    <row r="19" spans="1:5" x14ac:dyDescent="0.2">
      <c r="A19" t="s">
        <v>22</v>
      </c>
      <c r="B19" t="s">
        <v>50</v>
      </c>
      <c r="C19" t="s">
        <v>76</v>
      </c>
      <c r="D19" t="s">
        <v>75</v>
      </c>
    </row>
    <row r="20" spans="1:5" x14ac:dyDescent="0.2">
      <c r="A20" t="s">
        <v>23</v>
      </c>
      <c r="B20" t="s">
        <v>51</v>
      </c>
      <c r="C20" t="s">
        <v>73</v>
      </c>
      <c r="D20" t="s">
        <v>74</v>
      </c>
    </row>
    <row r="21" spans="1:5" x14ac:dyDescent="0.2">
      <c r="A21" t="s">
        <v>26</v>
      </c>
      <c r="B21" t="s">
        <v>52</v>
      </c>
      <c r="C21" t="s">
        <v>81</v>
      </c>
      <c r="D21" s="2" t="s">
        <v>93</v>
      </c>
    </row>
    <row r="22" spans="1:5" x14ac:dyDescent="0.2">
      <c r="A22" t="s">
        <v>27</v>
      </c>
      <c r="B22" t="s">
        <v>53</v>
      </c>
      <c r="C22" t="s">
        <v>82</v>
      </c>
      <c r="D22" s="3" t="s">
        <v>94</v>
      </c>
    </row>
    <row r="23" spans="1:5" x14ac:dyDescent="0.2">
      <c r="A23" t="s">
        <v>28</v>
      </c>
      <c r="B23" t="s">
        <v>54</v>
      </c>
      <c r="C23" t="s">
        <v>83</v>
      </c>
      <c r="D23" t="s">
        <v>84</v>
      </c>
    </row>
    <row r="24" spans="1:5" x14ac:dyDescent="0.2">
      <c r="A24" t="s">
        <v>29</v>
      </c>
      <c r="B24" t="s">
        <v>55</v>
      </c>
      <c r="C24" t="s">
        <v>1</v>
      </c>
      <c r="D24" t="s">
        <v>80</v>
      </c>
    </row>
    <row r="25" spans="1:5" x14ac:dyDescent="0.2">
      <c r="A25" t="s">
        <v>30</v>
      </c>
      <c r="B25" t="s">
        <v>56</v>
      </c>
      <c r="C25" t="s">
        <v>1</v>
      </c>
      <c r="D25" t="s">
        <v>204</v>
      </c>
      <c r="E25" t="s">
        <v>205</v>
      </c>
    </row>
    <row r="26" spans="1:5" x14ac:dyDescent="0.2">
      <c r="A26" t="s">
        <v>31</v>
      </c>
      <c r="B26" t="s">
        <v>58</v>
      </c>
      <c r="C26" t="s">
        <v>1</v>
      </c>
      <c r="D26" t="s">
        <v>204</v>
      </c>
      <c r="E26" t="s">
        <v>205</v>
      </c>
    </row>
    <row r="27" spans="1:5" x14ac:dyDescent="0.2">
      <c r="A27" t="s">
        <v>32</v>
      </c>
      <c r="B27" t="s">
        <v>57</v>
      </c>
      <c r="C27" t="s">
        <v>1</v>
      </c>
      <c r="D27" t="s">
        <v>204</v>
      </c>
      <c r="E27" t="s">
        <v>205</v>
      </c>
    </row>
    <row r="28" spans="1:5" x14ac:dyDescent="0.2">
      <c r="A28" t="s">
        <v>33</v>
      </c>
      <c r="B28" s="1" t="s">
        <v>59</v>
      </c>
      <c r="C28" t="s">
        <v>1</v>
      </c>
      <c r="D28" t="s">
        <v>204</v>
      </c>
      <c r="E28" t="s">
        <v>205</v>
      </c>
    </row>
    <row r="29" spans="1:5" x14ac:dyDescent="0.2">
      <c r="A29" t="s">
        <v>34</v>
      </c>
      <c r="B29" s="1" t="s">
        <v>60</v>
      </c>
      <c r="C29" t="s">
        <v>1</v>
      </c>
      <c r="D29" t="s">
        <v>204</v>
      </c>
      <c r="E29" t="s">
        <v>205</v>
      </c>
    </row>
    <row r="30" spans="1:5" x14ac:dyDescent="0.2">
      <c r="A30" t="s">
        <v>35</v>
      </c>
      <c r="B30" t="s">
        <v>61</v>
      </c>
      <c r="C30" t="s">
        <v>1</v>
      </c>
      <c r="D30" t="s">
        <v>204</v>
      </c>
      <c r="E30" t="s">
        <v>205</v>
      </c>
    </row>
    <row r="31" spans="1:5" x14ac:dyDescent="0.2">
      <c r="A31" t="s">
        <v>37</v>
      </c>
      <c r="B31" t="s">
        <v>64</v>
      </c>
      <c r="C31" t="s">
        <v>78</v>
      </c>
      <c r="D31" t="s">
        <v>79</v>
      </c>
    </row>
    <row r="32" spans="1:5" x14ac:dyDescent="0.2">
      <c r="A32" t="s">
        <v>36</v>
      </c>
      <c r="B32" t="s">
        <v>65</v>
      </c>
      <c r="C32" t="s">
        <v>78</v>
      </c>
      <c r="D32" t="s">
        <v>77</v>
      </c>
    </row>
    <row r="33" spans="1:4" x14ac:dyDescent="0.2">
      <c r="A33" t="s">
        <v>38</v>
      </c>
      <c r="B33" t="s">
        <v>66</v>
      </c>
      <c r="C33" t="s">
        <v>76</v>
      </c>
      <c r="D33" t="s">
        <v>75</v>
      </c>
    </row>
    <row r="34" spans="1:4" x14ac:dyDescent="0.2">
      <c r="A34" t="s">
        <v>39</v>
      </c>
      <c r="B34" t="s">
        <v>67</v>
      </c>
      <c r="C34" t="s">
        <v>73</v>
      </c>
      <c r="D34" t="s">
        <v>74</v>
      </c>
    </row>
  </sheetData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2E3CCE-D9A6-4043-B4E6-790885873B0A}">
  <dimension ref="A1:AB37"/>
  <sheetViews>
    <sheetView tabSelected="1" topLeftCell="F1" workbookViewId="0">
      <selection activeCell="Q1" sqref="Q1:S1048576"/>
    </sheetView>
  </sheetViews>
  <sheetFormatPr baseColWidth="10" defaultColWidth="10.6640625" defaultRowHeight="16" x14ac:dyDescent="0.2"/>
  <cols>
    <col min="4" max="4" width="18.5" customWidth="1"/>
    <col min="12" max="12" width="11.6640625" bestFit="1" customWidth="1"/>
    <col min="24" max="24" width="11.6640625" bestFit="1" customWidth="1"/>
  </cols>
  <sheetData>
    <row r="1" spans="1:28" x14ac:dyDescent="0.2">
      <c r="A1" t="s">
        <v>133</v>
      </c>
    </row>
    <row r="2" spans="1:28" x14ac:dyDescent="0.2">
      <c r="A2" t="s">
        <v>134</v>
      </c>
    </row>
    <row r="3" spans="1:28" x14ac:dyDescent="0.2">
      <c r="A3" t="s">
        <v>135</v>
      </c>
    </row>
    <row r="7" spans="1:28" x14ac:dyDescent="0.2">
      <c r="A7" t="s">
        <v>3</v>
      </c>
      <c r="B7" t="s">
        <v>5</v>
      </c>
      <c r="C7" t="s">
        <v>17</v>
      </c>
      <c r="D7" t="s">
        <v>18</v>
      </c>
      <c r="E7" t="s">
        <v>25</v>
      </c>
      <c r="F7" t="s">
        <v>8</v>
      </c>
      <c r="G7" t="s">
        <v>11</v>
      </c>
      <c r="H7" t="s">
        <v>190</v>
      </c>
      <c r="I7" t="s">
        <v>14</v>
      </c>
      <c r="J7" t="s">
        <v>13</v>
      </c>
      <c r="K7" t="s">
        <v>12</v>
      </c>
      <c r="L7" t="s">
        <v>191</v>
      </c>
      <c r="M7" t="s">
        <v>20</v>
      </c>
      <c r="N7" t="s">
        <v>21</v>
      </c>
      <c r="O7" t="s">
        <v>22</v>
      </c>
      <c r="P7" t="s">
        <v>23</v>
      </c>
      <c r="Q7" t="s">
        <v>29</v>
      </c>
      <c r="R7" t="s">
        <v>30</v>
      </c>
      <c r="S7" t="s">
        <v>31</v>
      </c>
      <c r="T7" t="s">
        <v>32</v>
      </c>
      <c r="U7" t="s">
        <v>33</v>
      </c>
      <c r="V7" t="s">
        <v>34</v>
      </c>
      <c r="W7" t="s">
        <v>35</v>
      </c>
      <c r="X7" t="s">
        <v>37</v>
      </c>
      <c r="Y7" t="s">
        <v>36</v>
      </c>
      <c r="Z7" t="s">
        <v>38</v>
      </c>
      <c r="AA7" t="s">
        <v>39</v>
      </c>
      <c r="AB7" s="4" t="s">
        <v>253</v>
      </c>
    </row>
    <row r="8" spans="1:28" x14ac:dyDescent="0.2">
      <c r="A8" s="3" t="s">
        <v>95</v>
      </c>
      <c r="B8" s="7" t="s">
        <v>125</v>
      </c>
      <c r="C8" t="s">
        <v>128</v>
      </c>
      <c r="D8" t="s">
        <v>167</v>
      </c>
      <c r="E8" t="s">
        <v>138</v>
      </c>
      <c r="F8">
        <v>3</v>
      </c>
      <c r="G8" s="6">
        <f ca="1">F8*25 + 5* RAND()</f>
        <v>76.335971696232292</v>
      </c>
      <c r="H8" s="6">
        <f ca="1">F8* 25 + 6* RAND()</f>
        <v>80.700348617081758</v>
      </c>
      <c r="I8" s="6">
        <f ca="1" xml:space="preserve"> F8*26 + 5 * RAND()</f>
        <v>82.658482012923173</v>
      </c>
      <c r="J8" s="6">
        <f ca="1" xml:space="preserve"> F8 *14 + 10* RAND()</f>
        <v>50.206594791678704</v>
      </c>
      <c r="K8" s="6">
        <f ca="1" xml:space="preserve"> F8 *22 + 15* RAND()</f>
        <v>70.073203969893882</v>
      </c>
      <c r="L8" s="6">
        <f ca="1">F8 * 28 + 4* RAND()</f>
        <v>86.183175215431135</v>
      </c>
      <c r="M8">
        <v>8.1999999999999993</v>
      </c>
      <c r="N8" t="s">
        <v>214</v>
      </c>
      <c r="O8" t="s">
        <v>241</v>
      </c>
      <c r="P8">
        <v>3.7</v>
      </c>
      <c r="Q8">
        <v>0</v>
      </c>
      <c r="R8" s="6">
        <f ca="1" xml:space="preserve"> G8-22*(F8-Q8)</f>
        <v>10.335971696232292</v>
      </c>
      <c r="S8" s="6">
        <f ca="1" xml:space="preserve"> H8-20*(F8-Q8)</f>
        <v>20.700348617081758</v>
      </c>
      <c r="T8" s="6">
        <f ca="1" xml:space="preserve"> I8-24*(F8-Q8)</f>
        <v>10.658482012923173</v>
      </c>
      <c r="U8" s="6">
        <f ca="1" xml:space="preserve"> J8-9*(F8-Q8)</f>
        <v>23.206594791678704</v>
      </c>
      <c r="V8" s="6">
        <f ca="1" xml:space="preserve"> K8-14*(F8-Q8)+ 6*RAND()</f>
        <v>33.677442070907645</v>
      </c>
      <c r="W8" s="6">
        <f ca="1" xml:space="preserve"> L8-27*(F8-Q8)+ 3*RAND()</f>
        <v>7.4553581728240754</v>
      </c>
      <c r="X8" s="5">
        <f ca="1">IF(B8 ="upa", M8 +1.5* RAND()*0.8, M8 +1.5* RAND())</f>
        <v>9.061147508807494</v>
      </c>
      <c r="Y8" s="6">
        <v>201</v>
      </c>
      <c r="Z8" s="6">
        <v>137.32780697416612</v>
      </c>
      <c r="AA8" s="5">
        <f ca="1">P8 + 0.3* RAND()</f>
        <v>3.8839255742507706</v>
      </c>
      <c r="AB8" t="s">
        <v>254</v>
      </c>
    </row>
    <row r="9" spans="1:28" x14ac:dyDescent="0.2">
      <c r="A9" s="3" t="s">
        <v>96</v>
      </c>
      <c r="B9" s="8" t="s">
        <v>126</v>
      </c>
      <c r="C9" t="s">
        <v>129</v>
      </c>
      <c r="D9" t="s">
        <v>167</v>
      </c>
      <c r="E9" t="s">
        <v>139</v>
      </c>
      <c r="F9">
        <v>2</v>
      </c>
      <c r="G9" s="6">
        <f t="shared" ref="G9:G37" ca="1" si="0">F9*25 + 5* RAND()</f>
        <v>50.538878461547839</v>
      </c>
      <c r="H9" s="6">
        <f t="shared" ref="H9:H37" ca="1" si="1">F9* 25 + 6* RAND()</f>
        <v>53.172248294925566</v>
      </c>
      <c r="I9" s="6">
        <f t="shared" ref="I9:I37" ca="1" si="2" xml:space="preserve"> F9*26 + 5 * RAND()</f>
        <v>53.989471329627975</v>
      </c>
      <c r="J9" s="6">
        <f t="shared" ref="J9:J37" ca="1" si="3" xml:space="preserve"> F9 *14 + 10* RAND()</f>
        <v>33.53894882756012</v>
      </c>
      <c r="K9" s="6">
        <f t="shared" ref="K9:K37" ca="1" si="4" xml:space="preserve"> F9 *22 + 15* RAND()</f>
        <v>46.038078913390045</v>
      </c>
      <c r="L9" s="6">
        <f t="shared" ref="L9:L37" ca="1" si="5">F9 * 28 + 4* RAND()</f>
        <v>59.344865094982246</v>
      </c>
      <c r="M9">
        <v>10.1</v>
      </c>
      <c r="N9" t="s">
        <v>215</v>
      </c>
      <c r="O9" t="s">
        <v>242</v>
      </c>
      <c r="P9">
        <v>4.0999999999999996</v>
      </c>
      <c r="Q9">
        <v>1</v>
      </c>
      <c r="R9" s="6">
        <f ca="1" xml:space="preserve"> G9-22*(F9-Q9)</f>
        <v>28.538878461547839</v>
      </c>
      <c r="S9" s="6">
        <f ca="1" xml:space="preserve"> H9-20*(F9-Q9)</f>
        <v>33.172248294925566</v>
      </c>
      <c r="T9" s="6">
        <f ca="1" xml:space="preserve"> I9-24*(F9-Q9)</f>
        <v>29.989471329627975</v>
      </c>
      <c r="U9" s="6">
        <f ca="1" xml:space="preserve"> J9-9*(F9-Q9)</f>
        <v>24.53894882756012</v>
      </c>
      <c r="V9" s="6">
        <f ca="1" xml:space="preserve"> K9-14*(F9-Q9)+ 6*RAND()</f>
        <v>36.371253702395734</v>
      </c>
      <c r="W9" s="6">
        <f ca="1" xml:space="preserve"> L9-27*(F9-Q9)+ 3*RAND()</f>
        <v>35.335710762936976</v>
      </c>
      <c r="X9" s="5">
        <f ca="1">IF(B9 ="upa", M9 +1.5* RAND()*0.8, M9 +1.5* RAND())</f>
        <v>11.148651033641103</v>
      </c>
      <c r="Y9" s="6">
        <v>340</v>
      </c>
      <c r="Z9" s="6">
        <v>142.21400074411167</v>
      </c>
      <c r="AA9" s="5">
        <f t="shared" ref="AA9:AA37" ca="1" si="6">P9 + 0.3* RAND()</f>
        <v>4.2024050504831623</v>
      </c>
      <c r="AB9" t="s">
        <v>255</v>
      </c>
    </row>
    <row r="10" spans="1:28" x14ac:dyDescent="0.2">
      <c r="A10" s="3" t="s">
        <v>97</v>
      </c>
      <c r="B10" s="9" t="s">
        <v>127</v>
      </c>
      <c r="C10" t="s">
        <v>129</v>
      </c>
      <c r="D10" t="s">
        <v>168</v>
      </c>
      <c r="E10" t="s">
        <v>140</v>
      </c>
      <c r="F10">
        <v>1</v>
      </c>
      <c r="G10" s="6">
        <f t="shared" ca="1" si="0"/>
        <v>25.590087104397995</v>
      </c>
      <c r="H10" s="6">
        <f t="shared" ca="1" si="1"/>
        <v>26.047573964631649</v>
      </c>
      <c r="I10" s="6">
        <f t="shared" ca="1" si="2"/>
        <v>26.444722769442844</v>
      </c>
      <c r="J10" s="6">
        <f t="shared" ca="1" si="3"/>
        <v>20.519343875314895</v>
      </c>
      <c r="K10" s="6">
        <f t="shared" ca="1" si="4"/>
        <v>26.656528067348965</v>
      </c>
      <c r="L10" s="6">
        <f t="shared" ca="1" si="5"/>
        <v>28.968456549411712</v>
      </c>
      <c r="M10">
        <v>5.5</v>
      </c>
      <c r="N10" t="s">
        <v>216</v>
      </c>
      <c r="O10" t="s">
        <v>243</v>
      </c>
      <c r="P10">
        <v>4.3</v>
      </c>
      <c r="Q10">
        <v>1</v>
      </c>
      <c r="R10" s="6">
        <f ca="1" xml:space="preserve"> G10-22*(F10-Q10)</f>
        <v>25.590087104397995</v>
      </c>
      <c r="S10" s="6">
        <f ca="1" xml:space="preserve"> H10-20*(F10-Q10)</f>
        <v>26.047573964631649</v>
      </c>
      <c r="T10" s="6">
        <f ca="1" xml:space="preserve"> I10-24*(F10-Q10)</f>
        <v>26.444722769442844</v>
      </c>
      <c r="U10" s="6">
        <f ca="1" xml:space="preserve"> J10-9*(F10-Q10)</f>
        <v>20.519343875314895</v>
      </c>
      <c r="V10" s="6">
        <f ca="1" xml:space="preserve"> K10-14*(F10-Q10)+ 6*RAND()</f>
        <v>30.70614079716303</v>
      </c>
      <c r="W10" s="6">
        <f ca="1" xml:space="preserve"> L10-27*(F10-Q10)+ 3*RAND()</f>
        <v>31.360915732795373</v>
      </c>
      <c r="X10" s="5">
        <v>3</v>
      </c>
      <c r="Y10" s="6">
        <v>256</v>
      </c>
      <c r="Z10" s="6">
        <v>140.08310039430984</v>
      </c>
      <c r="AA10" s="5">
        <f t="shared" ca="1" si="6"/>
        <v>4.4727373410225759</v>
      </c>
      <c r="AB10" t="s">
        <v>256</v>
      </c>
    </row>
    <row r="11" spans="1:28" x14ac:dyDescent="0.2">
      <c r="A11" s="3" t="s">
        <v>98</v>
      </c>
      <c r="B11" s="7" t="s">
        <v>125</v>
      </c>
      <c r="C11" t="s">
        <v>129</v>
      </c>
      <c r="D11" t="s">
        <v>167</v>
      </c>
      <c r="E11" t="s">
        <v>141</v>
      </c>
      <c r="F11">
        <v>3</v>
      </c>
      <c r="G11" s="6">
        <f t="shared" ca="1" si="0"/>
        <v>78.488675972339308</v>
      </c>
      <c r="H11" s="6">
        <f t="shared" ca="1" si="1"/>
        <v>77.205137938378073</v>
      </c>
      <c r="I11" s="6">
        <f t="shared" ca="1" si="2"/>
        <v>81.353111332513677</v>
      </c>
      <c r="J11" s="6">
        <f t="shared" ca="1" si="3"/>
        <v>42.27853702375716</v>
      </c>
      <c r="K11" s="6">
        <f t="shared" ca="1" si="4"/>
        <v>75.911767064879925</v>
      </c>
      <c r="L11" s="6">
        <f t="shared" ca="1" si="5"/>
        <v>84.012388689800986</v>
      </c>
      <c r="M11">
        <v>4.7</v>
      </c>
      <c r="N11" t="s">
        <v>217</v>
      </c>
      <c r="O11" t="s">
        <v>244</v>
      </c>
      <c r="P11">
        <v>3.5</v>
      </c>
      <c r="Q11">
        <v>1</v>
      </c>
      <c r="R11" s="6">
        <f ca="1" xml:space="preserve"> G11-22*(F11-Q11)</f>
        <v>34.488675972339308</v>
      </c>
      <c r="S11" s="6">
        <f ca="1" xml:space="preserve"> H11-20*(F11-Q11)</f>
        <v>37.205137938378073</v>
      </c>
      <c r="T11" s="6">
        <f ca="1" xml:space="preserve"> I11-24*(F11-Q11)</f>
        <v>33.353111332513677</v>
      </c>
      <c r="U11" s="6">
        <f ca="1" xml:space="preserve"> J11-9*(F11-Q11)</f>
        <v>24.27853702375716</v>
      </c>
      <c r="V11" s="6">
        <f ca="1" xml:space="preserve"> K11-14*(F11-Q11)+ 6*RAND()</f>
        <v>50.776257455259241</v>
      </c>
      <c r="W11" s="6">
        <f ca="1" xml:space="preserve"> L11-27*(F11-Q11)+ 3*RAND()</f>
        <v>32.798850510831294</v>
      </c>
      <c r="X11" s="5">
        <f ca="1">IF(B11 ="upa", M11 +1.5* RAND()*0.8, M11 +1.5* RAND())</f>
        <v>5.4822089102673157</v>
      </c>
      <c r="Y11" s="6">
        <v>327</v>
      </c>
      <c r="Z11" s="6">
        <v>139.15871190662787</v>
      </c>
      <c r="AA11" s="5">
        <f t="shared" ca="1" si="6"/>
        <v>3.6830689436126036</v>
      </c>
      <c r="AB11" t="s">
        <v>257</v>
      </c>
    </row>
    <row r="12" spans="1:28" x14ac:dyDescent="0.2">
      <c r="A12" s="3" t="s">
        <v>99</v>
      </c>
      <c r="B12" s="9" t="s">
        <v>127</v>
      </c>
      <c r="C12" t="s">
        <v>129</v>
      </c>
      <c r="D12" t="s">
        <v>169</v>
      </c>
      <c r="E12" t="s">
        <v>142</v>
      </c>
      <c r="F12">
        <v>3</v>
      </c>
      <c r="G12" s="6">
        <f t="shared" ca="1" si="0"/>
        <v>75.367463535700367</v>
      </c>
      <c r="H12" s="6">
        <f t="shared" ca="1" si="1"/>
        <v>75.330010123794267</v>
      </c>
      <c r="I12" s="6">
        <f t="shared" ca="1" si="2"/>
        <v>80.295123976460985</v>
      </c>
      <c r="J12" s="6">
        <f t="shared" ca="1" si="3"/>
        <v>45.974143646654973</v>
      </c>
      <c r="K12" s="6">
        <f t="shared" ca="1" si="4"/>
        <v>75.923427722910347</v>
      </c>
      <c r="L12" s="6">
        <f t="shared" ca="1" si="5"/>
        <v>87.661955616737188</v>
      </c>
      <c r="M12">
        <v>8.9</v>
      </c>
      <c r="N12" t="s">
        <v>218</v>
      </c>
      <c r="O12" t="s">
        <v>245</v>
      </c>
      <c r="P12">
        <v>4</v>
      </c>
      <c r="Q12">
        <v>2</v>
      </c>
      <c r="R12" s="6">
        <f ca="1" xml:space="preserve"> G12-22*(F12-Q12)</f>
        <v>53.367463535700367</v>
      </c>
      <c r="S12" s="6">
        <f ca="1" xml:space="preserve"> H12-20*(F12-Q12)</f>
        <v>55.330010123794267</v>
      </c>
      <c r="T12" s="6">
        <f ca="1" xml:space="preserve"> I12-24*(F12-Q12)</f>
        <v>56.295123976460985</v>
      </c>
      <c r="U12" s="6">
        <f ca="1" xml:space="preserve"> J12-9*(F12-Q12)</f>
        <v>36.974143646654973</v>
      </c>
      <c r="V12" s="6">
        <f ca="1" xml:space="preserve"> K12-14*(F12-Q12)+ 6*RAND()</f>
        <v>65.204879112519677</v>
      </c>
      <c r="W12" s="6">
        <f ca="1" xml:space="preserve"> L12-27*(F12-Q12)+ 3*RAND()</f>
        <v>63.49609201770086</v>
      </c>
      <c r="X12" s="5">
        <v>4.8</v>
      </c>
      <c r="Y12" s="6">
        <v>432</v>
      </c>
      <c r="Z12" s="6">
        <v>144.35077807759149</v>
      </c>
      <c r="AA12" s="5">
        <f t="shared" ca="1" si="6"/>
        <v>4.2141525577479406</v>
      </c>
      <c r="AB12" t="s">
        <v>258</v>
      </c>
    </row>
    <row r="13" spans="1:28" x14ac:dyDescent="0.2">
      <c r="A13" s="3" t="s">
        <v>100</v>
      </c>
      <c r="B13" s="8" t="s">
        <v>126</v>
      </c>
      <c r="C13" t="s">
        <v>129</v>
      </c>
      <c r="D13" t="s">
        <v>170</v>
      </c>
      <c r="E13" t="s">
        <v>143</v>
      </c>
      <c r="F13">
        <v>2</v>
      </c>
      <c r="G13" s="6">
        <f t="shared" ca="1" si="0"/>
        <v>53.821090606967495</v>
      </c>
      <c r="H13" s="6">
        <f t="shared" ca="1" si="1"/>
        <v>53.888837100616826</v>
      </c>
      <c r="I13" s="6">
        <f t="shared" ca="1" si="2"/>
        <v>52.068458882488677</v>
      </c>
      <c r="J13" s="6">
        <f t="shared" ca="1" si="3"/>
        <v>35.05993248612026</v>
      </c>
      <c r="K13" s="6">
        <f t="shared" ca="1" si="4"/>
        <v>49.527335418669743</v>
      </c>
      <c r="L13" s="6">
        <f t="shared" ca="1" si="5"/>
        <v>57.575404407707353</v>
      </c>
      <c r="M13">
        <v>9.3000000000000007</v>
      </c>
      <c r="N13" t="s">
        <v>219</v>
      </c>
      <c r="O13" t="s">
        <v>246</v>
      </c>
      <c r="P13">
        <v>4.4000000000000004</v>
      </c>
      <c r="Q13">
        <v>1</v>
      </c>
      <c r="R13" s="6">
        <f ca="1" xml:space="preserve"> G13-22*(F13-Q13)</f>
        <v>31.821090606967495</v>
      </c>
      <c r="S13" s="6">
        <f ca="1" xml:space="preserve"> H13-20*(F13-Q13)</f>
        <v>33.888837100616826</v>
      </c>
      <c r="T13" s="6">
        <f ca="1" xml:space="preserve"> I13-24*(F13-Q13)</f>
        <v>28.068458882488677</v>
      </c>
      <c r="U13" s="6">
        <f ca="1" xml:space="preserve"> J13-9*(F13-Q13)</f>
        <v>26.05993248612026</v>
      </c>
      <c r="V13" s="6">
        <f ca="1" xml:space="preserve"> K13-14*(F13-Q13)+ 6*RAND()</f>
        <v>41.168947173106417</v>
      </c>
      <c r="W13" s="6">
        <f ca="1" xml:space="preserve"> L13-27*(F13-Q13)+ 3*RAND()</f>
        <v>31.717083860038837</v>
      </c>
      <c r="X13" s="5">
        <f ca="1">IF(B13 ="upa", M13 +1.5* RAND()*0.8, M13 +1.5* RAND())</f>
        <v>10.39117782774164</v>
      </c>
      <c r="Y13" s="6">
        <v>348</v>
      </c>
      <c r="Z13" s="6">
        <v>145.39775240838094</v>
      </c>
      <c r="AA13" s="5">
        <f t="shared" ca="1" si="6"/>
        <v>4.4971286233369332</v>
      </c>
      <c r="AB13" t="s">
        <v>259</v>
      </c>
    </row>
    <row r="14" spans="1:28" x14ac:dyDescent="0.2">
      <c r="A14" s="3" t="s">
        <v>101</v>
      </c>
      <c r="B14" s="8" t="s">
        <v>126</v>
      </c>
      <c r="C14" t="s">
        <v>129</v>
      </c>
      <c r="D14" t="s">
        <v>171</v>
      </c>
      <c r="E14" t="s">
        <v>144</v>
      </c>
      <c r="F14">
        <v>3</v>
      </c>
      <c r="G14" s="6">
        <f t="shared" ca="1" si="0"/>
        <v>78.408327638794304</v>
      </c>
      <c r="H14" s="6">
        <f t="shared" ca="1" si="1"/>
        <v>77.448721269373635</v>
      </c>
      <c r="I14" s="6">
        <f t="shared" ca="1" si="2"/>
        <v>78.290761328729644</v>
      </c>
      <c r="J14" s="6">
        <f t="shared" ca="1" si="3"/>
        <v>47.323866106277976</v>
      </c>
      <c r="K14" s="6">
        <f t="shared" ca="1" si="4"/>
        <v>70.963195838658734</v>
      </c>
      <c r="L14" s="6">
        <f t="shared" ca="1" si="5"/>
        <v>84.961784486127428</v>
      </c>
      <c r="M14">
        <v>5.6</v>
      </c>
      <c r="N14" t="s">
        <v>220</v>
      </c>
      <c r="O14" t="s">
        <v>242</v>
      </c>
      <c r="P14">
        <v>3.6</v>
      </c>
      <c r="Q14">
        <v>2</v>
      </c>
      <c r="R14" s="6">
        <f ca="1" xml:space="preserve"> G14-22*(F14-Q14)</f>
        <v>56.408327638794304</v>
      </c>
      <c r="S14" s="6">
        <f ca="1" xml:space="preserve"> H14-20*(F14-Q14)</f>
        <v>57.448721269373635</v>
      </c>
      <c r="T14" s="6">
        <f ca="1" xml:space="preserve"> I14-24*(F14-Q14)</f>
        <v>54.290761328729644</v>
      </c>
      <c r="U14" s="6">
        <f ca="1" xml:space="preserve"> J14-9*(F14-Q14)</f>
        <v>38.323866106277976</v>
      </c>
      <c r="V14" s="6">
        <f ca="1" xml:space="preserve"> K14-14*(F14-Q14)+ 6*RAND()</f>
        <v>57.048371811378047</v>
      </c>
      <c r="W14" s="6">
        <f ca="1" xml:space="preserve"> L14-27*(F14-Q14)+ 3*RAND()</f>
        <v>60.917372465360422</v>
      </c>
      <c r="X14" s="5">
        <f ca="1">IF(B14 ="upa", M14 +1.5* RAND()*0.8, M14 +1.5* RAND())</f>
        <v>5.605990869733958</v>
      </c>
      <c r="Y14" s="6">
        <v>181</v>
      </c>
      <c r="Z14" s="6">
        <v>142.34192634331478</v>
      </c>
      <c r="AA14" s="5">
        <f t="shared" ca="1" si="6"/>
        <v>3.7649405060513903</v>
      </c>
      <c r="AB14" t="s">
        <v>260</v>
      </c>
    </row>
    <row r="15" spans="1:28" x14ac:dyDescent="0.2">
      <c r="A15" s="3" t="s">
        <v>102</v>
      </c>
      <c r="B15" s="9" t="s">
        <v>127</v>
      </c>
      <c r="C15" t="s">
        <v>130</v>
      </c>
      <c r="D15" t="s">
        <v>172</v>
      </c>
      <c r="E15" t="s">
        <v>145</v>
      </c>
      <c r="F15">
        <v>3</v>
      </c>
      <c r="G15" s="6">
        <f t="shared" ca="1" si="0"/>
        <v>76.365404367261945</v>
      </c>
      <c r="H15" s="6">
        <f t="shared" ca="1" si="1"/>
        <v>76.635038928598519</v>
      </c>
      <c r="I15" s="6">
        <f t="shared" ca="1" si="2"/>
        <v>80.439343775042389</v>
      </c>
      <c r="J15" s="6">
        <f t="shared" ca="1" si="3"/>
        <v>42.589343667588608</v>
      </c>
      <c r="K15" s="6">
        <f t="shared" ca="1" si="4"/>
        <v>75.952040675377276</v>
      </c>
      <c r="L15" s="6">
        <f t="shared" ca="1" si="5"/>
        <v>84.963564394790453</v>
      </c>
      <c r="M15">
        <v>9.6999999999999993</v>
      </c>
      <c r="N15" t="s">
        <v>221</v>
      </c>
      <c r="O15" t="s">
        <v>247</v>
      </c>
      <c r="P15">
        <v>4.5</v>
      </c>
      <c r="Q15">
        <v>2</v>
      </c>
      <c r="R15" s="6">
        <f ca="1" xml:space="preserve"> G15-22*(F15-Q15)</f>
        <v>54.365404367261945</v>
      </c>
      <c r="S15" s="6">
        <f ca="1" xml:space="preserve"> H15-20*(F15-Q15)</f>
        <v>56.635038928598519</v>
      </c>
      <c r="T15" s="6">
        <f ca="1" xml:space="preserve"> I15-24*(F15-Q15)</f>
        <v>56.439343775042389</v>
      </c>
      <c r="U15" s="6">
        <f ca="1" xml:space="preserve"> J15-9*(F15-Q15)</f>
        <v>33.589343667588608</v>
      </c>
      <c r="V15" s="6">
        <f ca="1" xml:space="preserve"> K15-14*(F15-Q15)+ 6*RAND()</f>
        <v>67.785813836728579</v>
      </c>
      <c r="W15" s="6">
        <f ca="1" xml:space="preserve"> L15-27*(F15-Q15)+ 3*RAND()</f>
        <v>58.406702271110738</v>
      </c>
      <c r="X15" s="5">
        <v>4.9000000000000004</v>
      </c>
      <c r="Y15" s="6">
        <v>128</v>
      </c>
      <c r="Z15" s="6">
        <v>138.31487244241424</v>
      </c>
      <c r="AA15" s="5">
        <f t="shared" ca="1" si="6"/>
        <v>4.719564050284724</v>
      </c>
      <c r="AB15" t="s">
        <v>261</v>
      </c>
    </row>
    <row r="16" spans="1:28" x14ac:dyDescent="0.2">
      <c r="A16" s="3" t="s">
        <v>103</v>
      </c>
      <c r="B16" s="7" t="s">
        <v>125</v>
      </c>
      <c r="C16" t="s">
        <v>131</v>
      </c>
      <c r="D16" t="s">
        <v>167</v>
      </c>
      <c r="E16" t="s">
        <v>146</v>
      </c>
      <c r="F16">
        <v>2</v>
      </c>
      <c r="G16" s="6">
        <f t="shared" ca="1" si="0"/>
        <v>54.140302497919045</v>
      </c>
      <c r="H16" s="6">
        <f t="shared" ca="1" si="1"/>
        <v>53.5896535286304</v>
      </c>
      <c r="I16" s="6">
        <f t="shared" ca="1" si="2"/>
        <v>55.419587583411897</v>
      </c>
      <c r="J16" s="6">
        <f t="shared" ca="1" si="3"/>
        <v>35.981800815405734</v>
      </c>
      <c r="K16" s="6">
        <f t="shared" ca="1" si="4"/>
        <v>55.135208763323448</v>
      </c>
      <c r="L16" s="6">
        <f t="shared" ca="1" si="5"/>
        <v>57.025842589017778</v>
      </c>
      <c r="M16">
        <v>8.3000000000000007</v>
      </c>
      <c r="N16" t="s">
        <v>222</v>
      </c>
      <c r="O16" t="s">
        <v>243</v>
      </c>
      <c r="P16">
        <v>4.3</v>
      </c>
      <c r="Q16">
        <v>0</v>
      </c>
      <c r="R16" s="6">
        <f ca="1" xml:space="preserve"> G16-22*(F16-Q16)</f>
        <v>10.140302497919045</v>
      </c>
      <c r="S16" s="6">
        <f ca="1" xml:space="preserve"> H16-20*(F16-Q16)</f>
        <v>13.5896535286304</v>
      </c>
      <c r="T16" s="6">
        <f ca="1" xml:space="preserve"> I16-24*(F16-Q16)</f>
        <v>7.4195875834118965</v>
      </c>
      <c r="U16" s="6">
        <f ca="1" xml:space="preserve"> J16-9*(F16-Q16)</f>
        <v>17.981800815405734</v>
      </c>
      <c r="V16" s="6">
        <f ca="1" xml:space="preserve"> K16-14*(F16-Q16)+ 6*RAND()</f>
        <v>29.536424256860933</v>
      </c>
      <c r="W16" s="6">
        <f ca="1" xml:space="preserve"> L16-27*(F16-Q16)+ 3*RAND()</f>
        <v>4.7483563601248466</v>
      </c>
      <c r="X16" s="5">
        <f ca="1">IF(B16 ="upa", M16 +1.5* RAND()*0.8, M16 +1.5* RAND())</f>
        <v>8.9588273972951438</v>
      </c>
      <c r="Y16" s="6">
        <v>135</v>
      </c>
      <c r="Z16" s="6">
        <v>140.33888720068057</v>
      </c>
      <c r="AA16" s="5">
        <f t="shared" ca="1" si="6"/>
        <v>4.3217269266458773</v>
      </c>
      <c r="AB16" t="s">
        <v>262</v>
      </c>
    </row>
    <row r="17" spans="1:28" x14ac:dyDescent="0.2">
      <c r="A17" s="3" t="s">
        <v>104</v>
      </c>
      <c r="B17" s="9" t="s">
        <v>127</v>
      </c>
      <c r="C17" t="s">
        <v>132</v>
      </c>
      <c r="D17" t="s">
        <v>167</v>
      </c>
      <c r="E17" t="s">
        <v>147</v>
      </c>
      <c r="F17">
        <v>3</v>
      </c>
      <c r="G17" s="6">
        <f t="shared" ca="1" si="0"/>
        <v>75.478973478717762</v>
      </c>
      <c r="H17" s="6">
        <f t="shared" ca="1" si="1"/>
        <v>80.997654541275878</v>
      </c>
      <c r="I17" s="6">
        <f t="shared" ca="1" si="2"/>
        <v>79.125058132588023</v>
      </c>
      <c r="J17" s="6">
        <f t="shared" ca="1" si="3"/>
        <v>47.079059345503119</v>
      </c>
      <c r="K17" s="6">
        <f t="shared" ca="1" si="4"/>
        <v>76.079174859588619</v>
      </c>
      <c r="L17" s="6">
        <f t="shared" ca="1" si="5"/>
        <v>85.043364940095529</v>
      </c>
      <c r="M17">
        <v>7.6</v>
      </c>
      <c r="N17" t="s">
        <v>223</v>
      </c>
      <c r="O17" t="s">
        <v>241</v>
      </c>
      <c r="P17">
        <v>3.8</v>
      </c>
      <c r="Q17">
        <v>1</v>
      </c>
      <c r="R17" s="6">
        <f ca="1" xml:space="preserve"> G17-22*(F17-Q17)</f>
        <v>31.478973478717762</v>
      </c>
      <c r="S17" s="6">
        <f ca="1" xml:space="preserve"> H17-20*(F17-Q17)</f>
        <v>40.997654541275878</v>
      </c>
      <c r="T17" s="6">
        <f ca="1" xml:space="preserve"> I17-24*(F17-Q17)</f>
        <v>31.125058132588023</v>
      </c>
      <c r="U17" s="6">
        <f ca="1" xml:space="preserve"> J17-9*(F17-Q17)</f>
        <v>29.079059345503119</v>
      </c>
      <c r="V17" s="6">
        <f ca="1" xml:space="preserve"> K17-14*(F17-Q17)+ 6*RAND()</f>
        <v>51.736813203091501</v>
      </c>
      <c r="W17" s="6">
        <f ca="1" xml:space="preserve"> L17-27*(F17-Q17)+ 3*RAND()</f>
        <v>31.965313818809719</v>
      </c>
      <c r="X17" s="5">
        <v>4.4000000000000004</v>
      </c>
      <c r="Y17" s="6">
        <v>238</v>
      </c>
      <c r="Z17" s="6">
        <v>137.343864179881</v>
      </c>
      <c r="AA17" s="5">
        <f t="shared" ca="1" si="6"/>
        <v>3.8804595498649501</v>
      </c>
      <c r="AB17" t="s">
        <v>263</v>
      </c>
    </row>
    <row r="18" spans="1:28" x14ac:dyDescent="0.2">
      <c r="A18" s="3" t="s">
        <v>105</v>
      </c>
      <c r="B18" s="7" t="s">
        <v>125</v>
      </c>
      <c r="C18" t="s">
        <v>129</v>
      </c>
      <c r="D18" t="s">
        <v>173</v>
      </c>
      <c r="E18" t="s">
        <v>148</v>
      </c>
      <c r="F18">
        <v>3</v>
      </c>
      <c r="G18" s="6">
        <f t="shared" ca="1" si="0"/>
        <v>79.0860971353152</v>
      </c>
      <c r="H18" s="6">
        <f t="shared" ca="1" si="1"/>
        <v>80.362549568154435</v>
      </c>
      <c r="I18" s="6">
        <f t="shared" ca="1" si="2"/>
        <v>80.756673441648218</v>
      </c>
      <c r="J18" s="6">
        <f t="shared" ca="1" si="3"/>
        <v>47.673627687864709</v>
      </c>
      <c r="K18" s="6">
        <f t="shared" ca="1" si="4"/>
        <v>68.885634462460473</v>
      </c>
      <c r="L18" s="6">
        <f t="shared" ca="1" si="5"/>
        <v>84.171083607664556</v>
      </c>
      <c r="M18">
        <v>9.1999999999999993</v>
      </c>
      <c r="N18" t="s">
        <v>224</v>
      </c>
      <c r="O18" t="s">
        <v>248</v>
      </c>
      <c r="P18">
        <v>3.6</v>
      </c>
      <c r="Q18">
        <v>0</v>
      </c>
      <c r="R18" s="6">
        <f ca="1" xml:space="preserve"> G18-22*(F18-Q18)</f>
        <v>13.0860971353152</v>
      </c>
      <c r="S18" s="6">
        <f ca="1" xml:space="preserve"> H18-20*(F18-Q18)</f>
        <v>20.362549568154435</v>
      </c>
      <c r="T18" s="6">
        <f ca="1" xml:space="preserve"> I18-24*(F18-Q18)</f>
        <v>8.7566734416482177</v>
      </c>
      <c r="U18" s="6">
        <f ca="1" xml:space="preserve"> J18-9*(F18-Q18)</f>
        <v>20.673627687864709</v>
      </c>
      <c r="V18" s="6">
        <f ca="1" xml:space="preserve"> K18-14*(F18-Q18)+ 6*RAND()</f>
        <v>30.505157117459774</v>
      </c>
      <c r="W18" s="6">
        <f ca="1" xml:space="preserve"> L18-27*(F18-Q18)+ 3*RAND()</f>
        <v>5.3058245491684772</v>
      </c>
      <c r="X18" s="5">
        <f ca="1">IF(B18 ="upa", M18 +1.5* RAND()*0.8, M18 +1.5* RAND())</f>
        <v>9.4049480660138194</v>
      </c>
      <c r="Y18" s="6">
        <v>288</v>
      </c>
      <c r="Z18" s="6">
        <v>143.15201376506843</v>
      </c>
      <c r="AA18" s="5">
        <f t="shared" ca="1" si="6"/>
        <v>3.8137022905810105</v>
      </c>
      <c r="AB18" t="s">
        <v>264</v>
      </c>
    </row>
    <row r="19" spans="1:28" x14ac:dyDescent="0.2">
      <c r="A19" s="3" t="s">
        <v>106</v>
      </c>
      <c r="B19" s="10" t="s">
        <v>126</v>
      </c>
      <c r="C19" t="s">
        <v>129</v>
      </c>
      <c r="D19" t="s">
        <v>167</v>
      </c>
      <c r="E19" t="s">
        <v>149</v>
      </c>
      <c r="F19">
        <v>3</v>
      </c>
      <c r="G19" s="6">
        <f t="shared" ca="1" si="0"/>
        <v>79.209700646700242</v>
      </c>
      <c r="H19" s="6">
        <f t="shared" ca="1" si="1"/>
        <v>80.382492770776707</v>
      </c>
      <c r="I19" s="6">
        <f t="shared" ca="1" si="2"/>
        <v>79.657461856145147</v>
      </c>
      <c r="J19" s="6">
        <f t="shared" ca="1" si="3"/>
        <v>50.207919229286645</v>
      </c>
      <c r="K19" s="6">
        <f t="shared" ca="1" si="4"/>
        <v>69.032229181239899</v>
      </c>
      <c r="L19" s="6">
        <f t="shared" ca="1" si="5"/>
        <v>85.413621978252664</v>
      </c>
      <c r="M19">
        <v>11.5</v>
      </c>
      <c r="N19" t="s">
        <v>225</v>
      </c>
      <c r="O19" t="s">
        <v>249</v>
      </c>
      <c r="P19">
        <v>3.4</v>
      </c>
      <c r="Q19">
        <v>1</v>
      </c>
      <c r="R19" s="6">
        <f ca="1" xml:space="preserve"> G19-22*(F19-Q19)</f>
        <v>35.209700646700242</v>
      </c>
      <c r="S19" s="6">
        <f ca="1" xml:space="preserve"> H19-20*(F19-Q19)</f>
        <v>40.382492770776707</v>
      </c>
      <c r="T19" s="6">
        <f ca="1" xml:space="preserve"> I19-24*(F19-Q19)</f>
        <v>31.657461856145147</v>
      </c>
      <c r="U19" s="6">
        <f ca="1" xml:space="preserve"> J19-9*(F19-Q19)</f>
        <v>32.207919229286645</v>
      </c>
      <c r="V19" s="6">
        <f ca="1" xml:space="preserve"> K19-14*(F19-Q19)+ 6*RAND()</f>
        <v>45.726700501509669</v>
      </c>
      <c r="W19" s="6">
        <f ca="1" xml:space="preserve"> L19-27*(F19-Q19)+ 3*RAND()</f>
        <v>33.548249122022945</v>
      </c>
      <c r="X19" s="5">
        <f ca="1">IF(B19 ="upa", M19 +1.5* RAND()*0.8, M19 +1.5* RAND())</f>
        <v>12.397882316530575</v>
      </c>
      <c r="Y19" s="6">
        <v>339</v>
      </c>
      <c r="Z19" s="6">
        <v>136.24917810174745</v>
      </c>
      <c r="AA19" s="5">
        <f t="shared" ca="1" si="6"/>
        <v>3.5803107777301975</v>
      </c>
      <c r="AB19" t="s">
        <v>265</v>
      </c>
    </row>
    <row r="20" spans="1:28" x14ac:dyDescent="0.2">
      <c r="A20" s="3" t="s">
        <v>107</v>
      </c>
      <c r="B20" s="7" t="s">
        <v>125</v>
      </c>
      <c r="C20" t="s">
        <v>129</v>
      </c>
      <c r="D20" t="s">
        <v>167</v>
      </c>
      <c r="E20" t="s">
        <v>150</v>
      </c>
      <c r="F20">
        <v>3</v>
      </c>
      <c r="G20" s="6">
        <f t="shared" ca="1" si="0"/>
        <v>77.876468830981707</v>
      </c>
      <c r="H20" s="6">
        <f t="shared" ca="1" si="1"/>
        <v>80.89405296206327</v>
      </c>
      <c r="I20" s="6">
        <f t="shared" ca="1" si="2"/>
        <v>81.170461324950466</v>
      </c>
      <c r="J20" s="6">
        <f t="shared" ca="1" si="3"/>
        <v>51.424185041959319</v>
      </c>
      <c r="K20" s="6">
        <f t="shared" ca="1" si="4"/>
        <v>69.104913965476115</v>
      </c>
      <c r="L20" s="6">
        <f t="shared" ca="1" si="5"/>
        <v>84.141070274796022</v>
      </c>
      <c r="M20">
        <v>10.199999999999999</v>
      </c>
      <c r="N20" t="s">
        <v>217</v>
      </c>
      <c r="O20" t="s">
        <v>250</v>
      </c>
      <c r="P20">
        <v>3.9</v>
      </c>
      <c r="Q20">
        <v>1</v>
      </c>
      <c r="R20" s="6">
        <f ca="1" xml:space="preserve"> G20-22*(F20-Q20)</f>
        <v>33.876468830981707</v>
      </c>
      <c r="S20" s="6">
        <f ca="1" xml:space="preserve"> H20-20*(F20-Q20)</f>
        <v>40.89405296206327</v>
      </c>
      <c r="T20" s="6">
        <f ca="1" xml:space="preserve"> I20-24*(F20-Q20)</f>
        <v>33.170461324950466</v>
      </c>
      <c r="U20" s="6">
        <f ca="1" xml:space="preserve"> J20-9*(F20-Q20)</f>
        <v>33.424185041959319</v>
      </c>
      <c r="V20" s="6">
        <f ca="1" xml:space="preserve"> K20-14*(F20-Q20)+ 6*RAND()</f>
        <v>42.062346511271144</v>
      </c>
      <c r="W20" s="6">
        <f ca="1" xml:space="preserve"> L20-27*(F20-Q20)+ 3*RAND()</f>
        <v>31.045287087346313</v>
      </c>
      <c r="X20" s="5">
        <f ca="1">IF(B20 ="upa", M20 +1.5* RAND()*0.8, M20 +1.5* RAND())</f>
        <v>10.429636403725777</v>
      </c>
      <c r="Y20" s="6">
        <v>321</v>
      </c>
      <c r="Z20" s="6">
        <v>135.27559697753881</v>
      </c>
      <c r="AA20" s="5">
        <f t="shared" ca="1" si="6"/>
        <v>3.9020815164320388</v>
      </c>
      <c r="AB20" t="s">
        <v>266</v>
      </c>
    </row>
    <row r="21" spans="1:28" x14ac:dyDescent="0.2">
      <c r="A21" s="3" t="s">
        <v>108</v>
      </c>
      <c r="B21" s="9" t="s">
        <v>127</v>
      </c>
      <c r="C21" t="s">
        <v>128</v>
      </c>
      <c r="D21" t="s">
        <v>168</v>
      </c>
      <c r="E21" t="s">
        <v>151</v>
      </c>
      <c r="F21">
        <v>3</v>
      </c>
      <c r="G21" s="6">
        <f t="shared" ca="1" si="0"/>
        <v>75.174451533774018</v>
      </c>
      <c r="H21" s="6">
        <f t="shared" ca="1" si="1"/>
        <v>80.139842093870413</v>
      </c>
      <c r="I21" s="6">
        <f t="shared" ca="1" si="2"/>
        <v>78.933849473316897</v>
      </c>
      <c r="J21" s="6">
        <f t="shared" ca="1" si="3"/>
        <v>43.511775339074873</v>
      </c>
      <c r="K21" s="6">
        <f t="shared" ca="1" si="4"/>
        <v>80.004730898905763</v>
      </c>
      <c r="L21" s="6">
        <f t="shared" ca="1" si="5"/>
        <v>87.26874174123131</v>
      </c>
      <c r="M21">
        <v>106</v>
      </c>
      <c r="N21" t="s">
        <v>226</v>
      </c>
      <c r="O21" t="s">
        <v>251</v>
      </c>
      <c r="P21">
        <v>4.5999999999999996</v>
      </c>
      <c r="Q21">
        <v>2</v>
      </c>
      <c r="R21" s="6">
        <f ca="1" xml:space="preserve"> G21-22*(F21-Q21)</f>
        <v>53.174451533774018</v>
      </c>
      <c r="S21" s="6">
        <f ca="1" xml:space="preserve"> H21-20*(F21-Q21)</f>
        <v>60.139842093870413</v>
      </c>
      <c r="T21" s="6">
        <f ca="1" xml:space="preserve"> I21-24*(F21-Q21)</f>
        <v>54.933849473316897</v>
      </c>
      <c r="U21" s="6">
        <f ca="1" xml:space="preserve"> J21-9*(F21-Q21)</f>
        <v>34.511775339074873</v>
      </c>
      <c r="V21" s="6">
        <f ca="1" xml:space="preserve"> K21-14*(F21-Q21)+ 6*RAND()</f>
        <v>68.362000573736253</v>
      </c>
      <c r="W21" s="6">
        <f ca="1" xml:space="preserve"> L21-27*(F21-Q21)+ 3*RAND()</f>
        <v>62.165888022127568</v>
      </c>
      <c r="X21" s="5">
        <v>5.3</v>
      </c>
      <c r="Y21" s="6">
        <v>349</v>
      </c>
      <c r="Z21" s="6">
        <v>141.47079546222952</v>
      </c>
      <c r="AA21" s="5">
        <f t="shared" ca="1" si="6"/>
        <v>4.8367122001631735</v>
      </c>
      <c r="AB21" t="s">
        <v>267</v>
      </c>
    </row>
    <row r="22" spans="1:28" x14ac:dyDescent="0.2">
      <c r="A22" s="3" t="s">
        <v>109</v>
      </c>
      <c r="B22" s="8" t="s">
        <v>126</v>
      </c>
      <c r="C22" s="1" t="s">
        <v>129</v>
      </c>
      <c r="D22" t="s">
        <v>174</v>
      </c>
      <c r="E22" t="s">
        <v>139</v>
      </c>
      <c r="F22">
        <v>2</v>
      </c>
      <c r="G22" s="6">
        <f t="shared" ca="1" si="0"/>
        <v>54.678308290810605</v>
      </c>
      <c r="H22" s="6">
        <f t="shared" ca="1" si="1"/>
        <v>53.683740303400278</v>
      </c>
      <c r="I22" s="6">
        <f t="shared" ca="1" si="2"/>
        <v>53.381009934739986</v>
      </c>
      <c r="J22" s="6">
        <f t="shared" ca="1" si="3"/>
        <v>35.564141458542828</v>
      </c>
      <c r="K22" s="6">
        <f t="shared" ca="1" si="4"/>
        <v>44.72943208532557</v>
      </c>
      <c r="L22" s="6">
        <f t="shared" ca="1" si="5"/>
        <v>59.814320298552531</v>
      </c>
      <c r="M22">
        <v>10.1</v>
      </c>
      <c r="N22" t="s">
        <v>227</v>
      </c>
      <c r="O22" t="s">
        <v>252</v>
      </c>
      <c r="P22">
        <v>4.3</v>
      </c>
      <c r="Q22">
        <v>0</v>
      </c>
      <c r="R22" s="6">
        <f ca="1" xml:space="preserve"> G22-22*(F22-Q22)</f>
        <v>10.678308290810605</v>
      </c>
      <c r="S22" s="6">
        <f ca="1" xml:space="preserve"> H22-20*(F22-Q22)</f>
        <v>13.683740303400278</v>
      </c>
      <c r="T22" s="6">
        <f ca="1" xml:space="preserve"> I22-24*(F22-Q22)</f>
        <v>5.3810099347399856</v>
      </c>
      <c r="U22" s="6">
        <f ca="1" xml:space="preserve"> J22-9*(F22-Q22)</f>
        <v>17.564141458542828</v>
      </c>
      <c r="V22" s="6" t="s">
        <v>200</v>
      </c>
      <c r="W22" s="6" t="s">
        <v>200</v>
      </c>
      <c r="X22" s="5">
        <f ca="1">IF(B22 ="upa", M22 +1.5* RAND()*0.8, M22 +1.5* RAND())</f>
        <v>11.275750901409635</v>
      </c>
      <c r="Y22" s="6">
        <v>216</v>
      </c>
      <c r="Z22" s="6">
        <v>133.1587718434495</v>
      </c>
      <c r="AA22" s="5">
        <f t="shared" ca="1" si="6"/>
        <v>4.4186953078295108</v>
      </c>
      <c r="AB22" t="s">
        <v>268</v>
      </c>
    </row>
    <row r="23" spans="1:28" x14ac:dyDescent="0.2">
      <c r="A23" s="3" t="s">
        <v>110</v>
      </c>
      <c r="B23" s="8" t="s">
        <v>126</v>
      </c>
      <c r="C23" s="1" t="s">
        <v>129</v>
      </c>
      <c r="D23" t="s">
        <v>168</v>
      </c>
      <c r="E23" t="s">
        <v>152</v>
      </c>
      <c r="F23">
        <v>3</v>
      </c>
      <c r="G23" s="6">
        <f t="shared" ca="1" si="0"/>
        <v>78.963058271317209</v>
      </c>
      <c r="H23" s="6">
        <f t="shared" ca="1" si="1"/>
        <v>80.470443090247713</v>
      </c>
      <c r="I23" s="6">
        <f t="shared" ca="1" si="2"/>
        <v>80.889504016005432</v>
      </c>
      <c r="J23" s="6">
        <f t="shared" ca="1" si="3"/>
        <v>46.070467221405067</v>
      </c>
      <c r="K23" s="6">
        <f t="shared" ca="1" si="4"/>
        <v>79.917093008088614</v>
      </c>
      <c r="L23" s="6">
        <f t="shared" ca="1" si="5"/>
        <v>87.750657665988356</v>
      </c>
      <c r="M23">
        <v>7.3</v>
      </c>
      <c r="N23" t="s">
        <v>228</v>
      </c>
      <c r="O23" t="s">
        <v>250</v>
      </c>
      <c r="P23">
        <v>4</v>
      </c>
      <c r="Q23">
        <v>1</v>
      </c>
      <c r="R23" s="6">
        <f ca="1" xml:space="preserve"> G23-22*(F23-Q23)</f>
        <v>34.963058271317209</v>
      </c>
      <c r="S23" s="6">
        <f ca="1" xml:space="preserve"> H23-20*(F23-Q23)</f>
        <v>40.470443090247713</v>
      </c>
      <c r="T23" s="6">
        <f ca="1" xml:space="preserve"> I23-24*(F23-Q23)</f>
        <v>32.889504016005432</v>
      </c>
      <c r="U23" s="6">
        <f ca="1" xml:space="preserve"> J23-9*(F23-Q23)</f>
        <v>28.070467221405067</v>
      </c>
      <c r="V23" s="6">
        <f ca="1" xml:space="preserve"> K23-14*(F23-Q23)+ 6*RAND()</f>
        <v>52.759648062841769</v>
      </c>
      <c r="W23" s="6">
        <f ca="1" xml:space="preserve"> L23-27*(F23-Q23)+ 3*RAND()</f>
        <v>36.621094168081235</v>
      </c>
      <c r="X23" s="5">
        <f ca="1">IF(B23 ="upa", M23 +1.5* RAND()*0.8, M23 +1.5* RAND())</f>
        <v>7.8157516433493806</v>
      </c>
      <c r="Y23" s="6">
        <v>102</v>
      </c>
      <c r="Z23" s="6">
        <v>135.46579024874748</v>
      </c>
      <c r="AA23" s="5">
        <f t="shared" ca="1" si="6"/>
        <v>4.2521103205192556</v>
      </c>
      <c r="AB23" t="s">
        <v>269</v>
      </c>
    </row>
    <row r="24" spans="1:28" x14ac:dyDescent="0.2">
      <c r="A24" s="3" t="s">
        <v>111</v>
      </c>
      <c r="B24" s="7" t="s">
        <v>125</v>
      </c>
      <c r="C24" s="1" t="s">
        <v>129</v>
      </c>
      <c r="D24" t="s">
        <v>167</v>
      </c>
      <c r="E24" t="s">
        <v>153</v>
      </c>
      <c r="F24">
        <v>3</v>
      </c>
      <c r="G24" s="6">
        <f t="shared" ca="1" si="0"/>
        <v>79.077232344425866</v>
      </c>
      <c r="H24" s="6">
        <f t="shared" ca="1" si="1"/>
        <v>75.009249548517573</v>
      </c>
      <c r="I24" s="6">
        <f t="shared" ca="1" si="2"/>
        <v>80.829049860618269</v>
      </c>
      <c r="J24" s="6">
        <f t="shared" ca="1" si="3"/>
        <v>42.791171813110232</v>
      </c>
      <c r="K24" s="6">
        <f t="shared" ca="1" si="4"/>
        <v>72.902794817132431</v>
      </c>
      <c r="L24" s="6">
        <f t="shared" ca="1" si="5"/>
        <v>87.777075906757119</v>
      </c>
      <c r="M24">
        <v>8.6</v>
      </c>
      <c r="N24" t="s">
        <v>229</v>
      </c>
      <c r="O24" t="s">
        <v>248</v>
      </c>
      <c r="P24">
        <v>4.0999999999999996</v>
      </c>
      <c r="Q24">
        <v>0</v>
      </c>
      <c r="R24" s="6">
        <f ca="1" xml:space="preserve"> G24-22*(F24-Q24)</f>
        <v>13.077232344425866</v>
      </c>
      <c r="S24" s="6">
        <f ca="1" xml:space="preserve"> H24-20*(F24-Q24)</f>
        <v>15.009249548517573</v>
      </c>
      <c r="T24" s="6">
        <f ca="1" xml:space="preserve"> I24-24*(F24-Q24)</f>
        <v>8.8290498606182695</v>
      </c>
      <c r="U24" s="6">
        <f ca="1" xml:space="preserve"> J24-9*(F24-Q24)</f>
        <v>15.791171813110232</v>
      </c>
      <c r="V24" s="6">
        <f ca="1" xml:space="preserve"> K24-14*(F24-Q24)+ 6*RAND()</f>
        <v>35.742102749311627</v>
      </c>
      <c r="W24" s="6">
        <f ca="1" xml:space="preserve"> L24-27*(F24-Q24)+ 3*RAND()</f>
        <v>7.0421520473109958</v>
      </c>
      <c r="X24" s="5">
        <f ca="1">IF(B24 ="upa", M24 +1.5* RAND()*0.8, M24 +1.5* RAND())</f>
        <v>9.1801050579672729</v>
      </c>
      <c r="Y24" s="6">
        <v>224</v>
      </c>
      <c r="Z24" s="6">
        <v>143.23477878460471</v>
      </c>
      <c r="AA24" s="5">
        <v>-99</v>
      </c>
      <c r="AB24" t="s">
        <v>270</v>
      </c>
    </row>
    <row r="25" spans="1:28" x14ac:dyDescent="0.2">
      <c r="A25" s="3" t="s">
        <v>112</v>
      </c>
      <c r="B25" s="9" t="s">
        <v>127</v>
      </c>
      <c r="C25" s="1" t="s">
        <v>129</v>
      </c>
      <c r="D25" t="s">
        <v>167</v>
      </c>
      <c r="E25" t="s">
        <v>154</v>
      </c>
      <c r="F25">
        <v>3</v>
      </c>
      <c r="G25" s="6">
        <f t="shared" ca="1" si="0"/>
        <v>75.557880718803787</v>
      </c>
      <c r="H25" s="6">
        <f t="shared" ca="1" si="1"/>
        <v>77.306290492119928</v>
      </c>
      <c r="I25" s="6">
        <f t="shared" ca="1" si="2"/>
        <v>82.496222400520509</v>
      </c>
      <c r="J25" s="6">
        <f t="shared" ca="1" si="3"/>
        <v>46.502497406372314</v>
      </c>
      <c r="K25" s="6">
        <f t="shared" ca="1" si="4"/>
        <v>78.79845591155636</v>
      </c>
      <c r="L25" s="6">
        <f t="shared" ca="1" si="5"/>
        <v>84.394283663958433</v>
      </c>
      <c r="M25">
        <v>5.7</v>
      </c>
      <c r="N25" t="s">
        <v>230</v>
      </c>
      <c r="O25" t="s">
        <v>249</v>
      </c>
      <c r="P25">
        <v>3.8</v>
      </c>
      <c r="Q25">
        <v>2</v>
      </c>
      <c r="R25" s="6">
        <f ca="1" xml:space="preserve"> G25-22*(F25-Q25)</f>
        <v>53.557880718803787</v>
      </c>
      <c r="S25" s="6">
        <f ca="1" xml:space="preserve"> H25-20*(F25-Q25)</f>
        <v>57.306290492119928</v>
      </c>
      <c r="T25" s="6">
        <f ca="1" xml:space="preserve"> I25-24*(F25-Q25)</f>
        <v>58.496222400520509</v>
      </c>
      <c r="U25" s="6">
        <f ca="1" xml:space="preserve"> J25-9*(F25-Q25)</f>
        <v>37.502497406372314</v>
      </c>
      <c r="V25" s="6">
        <f ca="1" xml:space="preserve"> K25-14*(F25-Q25)+ 6*RAND()</f>
        <v>70.625006685563463</v>
      </c>
      <c r="W25" s="6">
        <f ca="1" xml:space="preserve"> L25-27*(F25-Q25)+ 3*RAND()</f>
        <v>59.484975012287784</v>
      </c>
      <c r="X25" s="5">
        <v>3.2</v>
      </c>
      <c r="Y25" s="6">
        <v>242</v>
      </c>
      <c r="Z25" s="6">
        <v>-99</v>
      </c>
      <c r="AA25" s="5">
        <f t="shared" ca="1" si="6"/>
        <v>3.9511205542474901</v>
      </c>
      <c r="AB25" t="s">
        <v>271</v>
      </c>
    </row>
    <row r="26" spans="1:28" x14ac:dyDescent="0.2">
      <c r="A26" s="3" t="s">
        <v>113</v>
      </c>
      <c r="B26" s="7" t="s">
        <v>125</v>
      </c>
      <c r="C26" s="1" t="s">
        <v>129</v>
      </c>
      <c r="D26" t="s">
        <v>167</v>
      </c>
      <c r="E26" t="s">
        <v>155</v>
      </c>
      <c r="F26">
        <v>1</v>
      </c>
      <c r="G26" s="6">
        <f t="shared" ca="1" si="0"/>
        <v>26.221906270461933</v>
      </c>
      <c r="H26" s="6">
        <f t="shared" ca="1" si="1"/>
        <v>28.184509870239062</v>
      </c>
      <c r="I26" s="6">
        <f t="shared" ca="1" si="2"/>
        <v>27.255136590097386</v>
      </c>
      <c r="J26" s="6">
        <f t="shared" ca="1" si="3"/>
        <v>21.168511490805251</v>
      </c>
      <c r="K26" s="6">
        <f t="shared" ca="1" si="4"/>
        <v>29.65171745914979</v>
      </c>
      <c r="L26" s="6">
        <f t="shared" ca="1" si="5"/>
        <v>28.632515785899312</v>
      </c>
      <c r="M26">
        <v>9.4</v>
      </c>
      <c r="N26" t="s">
        <v>231</v>
      </c>
      <c r="O26" t="s">
        <v>245</v>
      </c>
      <c r="P26">
        <v>3.9</v>
      </c>
      <c r="Q26">
        <v>0</v>
      </c>
      <c r="R26" s="6">
        <f ca="1" xml:space="preserve"> G26-22*(F26-Q26)</f>
        <v>4.2219062704619326</v>
      </c>
      <c r="S26" s="6">
        <f ca="1" xml:space="preserve"> H26-20*(F26-Q26)</f>
        <v>8.1845098702390615</v>
      </c>
      <c r="T26" s="6">
        <f ca="1" xml:space="preserve"> I26-24*(F26-Q26)</f>
        <v>3.2551365900973863</v>
      </c>
      <c r="U26" s="6">
        <f ca="1" xml:space="preserve"> J26-9*(F26-Q26)</f>
        <v>12.168511490805251</v>
      </c>
      <c r="V26" s="6">
        <f ca="1" xml:space="preserve"> K26-14*(F26-Q26)+ 6*RAND()</f>
        <v>16.637839618626852</v>
      </c>
      <c r="W26" s="6">
        <f ca="1" xml:space="preserve"> L26-27*(F26-Q26)+ 3*RAND()</f>
        <v>4.5866707606803505</v>
      </c>
      <c r="X26" s="5">
        <f ca="1">IF(B26 ="upa", M26 +1.5* RAND()*0.8, M26 +1.5* RAND())</f>
        <v>9.5708521009276115</v>
      </c>
      <c r="Y26" s="6">
        <v>325</v>
      </c>
      <c r="Z26" s="6">
        <v>144.48281679227409</v>
      </c>
      <c r="AA26" s="5">
        <f t="shared" ca="1" si="6"/>
        <v>4.0810831673242856</v>
      </c>
      <c r="AB26" t="s">
        <v>272</v>
      </c>
    </row>
    <row r="27" spans="1:28" x14ac:dyDescent="0.2">
      <c r="A27" s="3" t="s">
        <v>114</v>
      </c>
      <c r="B27" s="8" t="s">
        <v>126</v>
      </c>
      <c r="C27" s="1" t="s">
        <v>129</v>
      </c>
      <c r="D27" t="s">
        <v>168</v>
      </c>
      <c r="E27" t="s">
        <v>156</v>
      </c>
      <c r="F27">
        <v>3</v>
      </c>
      <c r="G27" s="6">
        <f t="shared" ca="1" si="0"/>
        <v>76.068492011343452</v>
      </c>
      <c r="H27" s="6">
        <f t="shared" ca="1" si="1"/>
        <v>76.794779631162086</v>
      </c>
      <c r="I27" s="6">
        <f t="shared" ca="1" si="2"/>
        <v>80.186136821026182</v>
      </c>
      <c r="J27" s="6">
        <f t="shared" ca="1" si="3"/>
        <v>43.063833595000808</v>
      </c>
      <c r="K27" s="6">
        <f t="shared" ca="1" si="4"/>
        <v>79.156734691023729</v>
      </c>
      <c r="L27" s="6">
        <f t="shared" ca="1" si="5"/>
        <v>86.533140799529079</v>
      </c>
      <c r="M27">
        <v>8.8000000000000007</v>
      </c>
      <c r="N27" t="s">
        <v>232</v>
      </c>
      <c r="O27" t="s">
        <v>246</v>
      </c>
      <c r="P27">
        <v>37</v>
      </c>
      <c r="Q27">
        <v>1</v>
      </c>
      <c r="R27" s="6">
        <f ca="1" xml:space="preserve"> G27-22*(F27-Q27)</f>
        <v>32.068492011343452</v>
      </c>
      <c r="S27" s="6">
        <f ca="1" xml:space="preserve"> H27-20*(F27-Q27)</f>
        <v>36.794779631162086</v>
      </c>
      <c r="T27" s="6">
        <f ca="1" xml:space="preserve"> I27-24*(F27-Q27)</f>
        <v>32.186136821026182</v>
      </c>
      <c r="U27" s="6">
        <f ca="1" xml:space="preserve"> J27-9*(F27-Q27)</f>
        <v>25.063833595000808</v>
      </c>
      <c r="V27" s="6">
        <f ca="1" xml:space="preserve"> K27-14*(F27-Q27)+ 6*RAND()</f>
        <v>53.659116126983108</v>
      </c>
      <c r="W27" s="6">
        <f ca="1" xml:space="preserve"> L27-27*(F27-Q27)+ 3*RAND()</f>
        <v>33.21701533419769</v>
      </c>
      <c r="X27" s="5">
        <f ca="1">IF(B27 ="upa", M27 +1.5* RAND()*0.8, M27 +1.5* RAND())</f>
        <v>9.606499583862524</v>
      </c>
      <c r="Y27" s="6">
        <v>356</v>
      </c>
      <c r="Z27" s="6">
        <v>145.02346805381558</v>
      </c>
      <c r="AA27" s="5">
        <f t="shared" ca="1" si="6"/>
        <v>37.130107268364</v>
      </c>
      <c r="AB27" t="s">
        <v>273</v>
      </c>
    </row>
    <row r="28" spans="1:28" x14ac:dyDescent="0.2">
      <c r="A28" s="3" t="s">
        <v>115</v>
      </c>
      <c r="B28" s="9" t="s">
        <v>127</v>
      </c>
      <c r="C28" s="1" t="s">
        <v>129</v>
      </c>
      <c r="D28" t="s">
        <v>172</v>
      </c>
      <c r="E28" t="s">
        <v>157</v>
      </c>
      <c r="F28">
        <v>2</v>
      </c>
      <c r="G28" s="6">
        <f t="shared" ca="1" si="0"/>
        <v>54.555800409384794</v>
      </c>
      <c r="H28" s="6">
        <f t="shared" ca="1" si="1"/>
        <v>54.796164663314066</v>
      </c>
      <c r="I28" s="6">
        <f t="shared" ca="1" si="2"/>
        <v>52.618490174306416</v>
      </c>
      <c r="J28" s="6">
        <f t="shared" ca="1" si="3"/>
        <v>33.023427223548744</v>
      </c>
      <c r="K28" s="6">
        <f t="shared" ca="1" si="4"/>
        <v>57.593082342580502</v>
      </c>
      <c r="L28" s="6">
        <f t="shared" ca="1" si="5"/>
        <v>56.661895559987315</v>
      </c>
      <c r="M28">
        <v>5.5</v>
      </c>
      <c r="N28" t="s">
        <v>137</v>
      </c>
      <c r="O28" t="s">
        <v>243</v>
      </c>
      <c r="P28">
        <v>4</v>
      </c>
      <c r="Q28">
        <v>1</v>
      </c>
      <c r="R28" s="6">
        <f ca="1" xml:space="preserve"> G28-22*(F28-Q28)</f>
        <v>32.555800409384794</v>
      </c>
      <c r="S28" s="6">
        <f ca="1" xml:space="preserve"> H28-20*(F28-Q28)</f>
        <v>34.796164663314066</v>
      </c>
      <c r="T28" s="6">
        <f ca="1" xml:space="preserve"> I28-24*(F28-Q28)</f>
        <v>28.618490174306416</v>
      </c>
      <c r="U28" s="6">
        <f ca="1" xml:space="preserve"> J28-9*(F28-Q28)</f>
        <v>24.023427223548744</v>
      </c>
      <c r="V28" s="6">
        <f ca="1" xml:space="preserve"> K28-14*(F28-Q28)+ 6*RAND()</f>
        <v>44.584001375526533</v>
      </c>
      <c r="W28" s="6">
        <f ca="1" xml:space="preserve"> L28-27*(F28-Q28)+ 3*RAND()</f>
        <v>30.742441269590447</v>
      </c>
      <c r="X28" s="5">
        <v>3.3</v>
      </c>
      <c r="Y28" s="6">
        <v>310</v>
      </c>
      <c r="Z28" s="6">
        <v>140.33393329005364</v>
      </c>
      <c r="AA28" s="5">
        <f t="shared" ca="1" si="6"/>
        <v>4.2689494241777544</v>
      </c>
      <c r="AB28" t="s">
        <v>274</v>
      </c>
    </row>
    <row r="29" spans="1:28" x14ac:dyDescent="0.2">
      <c r="A29" s="3" t="s">
        <v>116</v>
      </c>
      <c r="B29" s="8" t="s">
        <v>126</v>
      </c>
      <c r="C29" s="1" t="s">
        <v>129</v>
      </c>
      <c r="D29" t="s">
        <v>167</v>
      </c>
      <c r="E29" t="s">
        <v>158</v>
      </c>
      <c r="F29">
        <v>3</v>
      </c>
      <c r="G29" s="6">
        <f t="shared" ca="1" si="0"/>
        <v>78.696765158168702</v>
      </c>
      <c r="H29" s="6">
        <f t="shared" ca="1" si="1"/>
        <v>77.164694286076411</v>
      </c>
      <c r="I29" s="6">
        <f t="shared" ca="1" si="2"/>
        <v>79.546378817209472</v>
      </c>
      <c r="J29" s="6">
        <f t="shared" ca="1" si="3"/>
        <v>51.453001906193741</v>
      </c>
      <c r="K29" s="6">
        <f t="shared" ca="1" si="4"/>
        <v>68.892164178585801</v>
      </c>
      <c r="L29" s="6">
        <f t="shared" ca="1" si="5"/>
        <v>85.685850053639456</v>
      </c>
      <c r="M29">
        <v>7.6</v>
      </c>
      <c r="N29" t="s">
        <v>216</v>
      </c>
      <c r="O29" t="s">
        <v>251</v>
      </c>
      <c r="P29">
        <v>3.6</v>
      </c>
      <c r="Q29">
        <v>0</v>
      </c>
      <c r="R29" s="6">
        <f ca="1" xml:space="preserve"> G29-22*(F29-Q29)</f>
        <v>12.696765158168702</v>
      </c>
      <c r="S29" s="6">
        <f ca="1" xml:space="preserve"> H29-20*(F29-Q29)</f>
        <v>17.164694286076411</v>
      </c>
      <c r="T29" s="6">
        <f ca="1" xml:space="preserve"> I29-24*(F29-Q29)</f>
        <v>7.5463788172094723</v>
      </c>
      <c r="U29" s="6">
        <f ca="1" xml:space="preserve"> J29-9*(F29-Q29)</f>
        <v>24.453001906193741</v>
      </c>
      <c r="V29" s="6">
        <f ca="1" xml:space="preserve"> K29-14*(F29-Q29)+ 6*RAND()</f>
        <v>27.407185932352533</v>
      </c>
      <c r="W29" s="6">
        <f ca="1" xml:space="preserve"> L29-27*(F29-Q29)+ 3*RAND()</f>
        <v>5.8245458756015047</v>
      </c>
      <c r="X29" s="5">
        <f ca="1">IF(B29 ="upa", M29 +1.5* RAND()*0.8, M29 +1.5* RAND())</f>
        <v>8.6280725561720573</v>
      </c>
      <c r="Y29" s="6">
        <v>254</v>
      </c>
      <c r="Z29" s="6">
        <v>141.16829977612645</v>
      </c>
      <c r="AA29" s="5">
        <f t="shared" ca="1" si="6"/>
        <v>3.7644197133527961</v>
      </c>
      <c r="AB29" t="s">
        <v>275</v>
      </c>
    </row>
    <row r="30" spans="1:28" x14ac:dyDescent="0.2">
      <c r="A30" s="3" t="s">
        <v>117</v>
      </c>
      <c r="B30" s="9" t="s">
        <v>127</v>
      </c>
      <c r="C30" t="s">
        <v>128</v>
      </c>
      <c r="D30" t="s">
        <v>167</v>
      </c>
      <c r="E30" t="s">
        <v>159</v>
      </c>
      <c r="F30">
        <v>3</v>
      </c>
      <c r="G30" s="6">
        <f t="shared" ca="1" si="0"/>
        <v>75.045499457357735</v>
      </c>
      <c r="H30" s="6">
        <f t="shared" ca="1" si="1"/>
        <v>77.976754868187953</v>
      </c>
      <c r="I30" s="6">
        <f t="shared" ca="1" si="2"/>
        <v>79.350992365384116</v>
      </c>
      <c r="J30" s="6">
        <f t="shared" ca="1" si="3"/>
        <v>49.765239258760978</v>
      </c>
      <c r="K30" s="6">
        <f t="shared" ca="1" si="4"/>
        <v>78.994141192517745</v>
      </c>
      <c r="L30" s="6">
        <f t="shared" ca="1" si="5"/>
        <v>84.064213225465693</v>
      </c>
      <c r="M30">
        <v>6.3</v>
      </c>
      <c r="N30" t="s">
        <v>233</v>
      </c>
      <c r="O30" t="s">
        <v>242</v>
      </c>
      <c r="P30">
        <v>3.5</v>
      </c>
      <c r="Q30">
        <v>2</v>
      </c>
      <c r="R30" s="6">
        <f ca="1" xml:space="preserve"> G30-22*(F30-Q30)</f>
        <v>53.045499457357735</v>
      </c>
      <c r="S30" s="6">
        <f ca="1" xml:space="preserve"> H30-20*(F30-Q30)</f>
        <v>57.976754868187953</v>
      </c>
      <c r="T30" s="6">
        <f ca="1" xml:space="preserve"> I30-24*(F30-Q30)</f>
        <v>55.350992365384116</v>
      </c>
      <c r="U30" s="6">
        <f ca="1" xml:space="preserve"> J30-9*(F30-Q30)</f>
        <v>40.765239258760978</v>
      </c>
      <c r="V30" s="6">
        <f ca="1" xml:space="preserve"> K30-14*(F30-Q30)+ 6*RAND()</f>
        <v>66.144670553960566</v>
      </c>
      <c r="W30" s="6">
        <f ca="1" xml:space="preserve"> L30-27*(F30-Q30)+ 3*RAND()</f>
        <v>57.528171937407976</v>
      </c>
      <c r="X30" s="5">
        <v>3.7</v>
      </c>
      <c r="Y30" s="6">
        <v>189</v>
      </c>
      <c r="Z30" s="6">
        <v>142.02813200837988</v>
      </c>
      <c r="AA30" s="5">
        <f t="shared" ca="1" si="6"/>
        <v>3.7574110215324774</v>
      </c>
      <c r="AB30" t="s">
        <v>276</v>
      </c>
    </row>
    <row r="31" spans="1:28" x14ac:dyDescent="0.2">
      <c r="A31" s="3" t="s">
        <v>118</v>
      </c>
      <c r="B31" s="7" t="s">
        <v>125</v>
      </c>
      <c r="C31" t="s">
        <v>129</v>
      </c>
      <c r="D31" t="s">
        <v>167</v>
      </c>
      <c r="E31" t="s">
        <v>160</v>
      </c>
      <c r="F31">
        <v>3</v>
      </c>
      <c r="G31" s="6">
        <f t="shared" ca="1" si="0"/>
        <v>79.574816652130295</v>
      </c>
      <c r="H31" s="6">
        <f t="shared" ca="1" si="1"/>
        <v>79.430802582341997</v>
      </c>
      <c r="I31" s="6">
        <f t="shared" ca="1" si="2"/>
        <v>80.542562048261217</v>
      </c>
      <c r="J31" s="6">
        <f t="shared" ca="1" si="3"/>
        <v>44.570278738951991</v>
      </c>
      <c r="K31" s="6">
        <f t="shared" ca="1" si="4"/>
        <v>73.210149537192422</v>
      </c>
      <c r="L31" s="6">
        <f t="shared" ca="1" si="5"/>
        <v>85.204576611806274</v>
      </c>
      <c r="M31">
        <v>8.9</v>
      </c>
      <c r="N31" t="s">
        <v>234</v>
      </c>
      <c r="O31" t="s">
        <v>247</v>
      </c>
      <c r="P31">
        <v>4.5999999999999996</v>
      </c>
      <c r="Q31">
        <v>1</v>
      </c>
      <c r="R31" s="6">
        <f ca="1" xml:space="preserve"> G31-22*(F31-Q31)</f>
        <v>35.574816652130295</v>
      </c>
      <c r="S31" s="6">
        <f ca="1" xml:space="preserve"> H31-20*(F31-Q31)</f>
        <v>39.430802582341997</v>
      </c>
      <c r="T31" s="6">
        <f ca="1" xml:space="preserve"> I31-24*(F31-Q31)</f>
        <v>32.542562048261217</v>
      </c>
      <c r="U31" s="6">
        <f ca="1" xml:space="preserve"> J31-9*(F31-Q31)</f>
        <v>26.570278738951991</v>
      </c>
      <c r="V31" s="6">
        <f ca="1" xml:space="preserve"> K31-14*(F31-Q31)+ 6*RAND()</f>
        <v>48.053100236018956</v>
      </c>
      <c r="W31" s="6">
        <f ca="1" xml:space="preserve"> L31-27*(F31-Q31)+ 3*RAND()</f>
        <v>33.944561058932734</v>
      </c>
      <c r="X31" s="5">
        <f ca="1">IF(B31 ="upa", M31 +1.5* RAND()*0.8, M31 +1.5* RAND())</f>
        <v>9.4819593186429589</v>
      </c>
      <c r="Y31" s="6">
        <v>48</v>
      </c>
      <c r="Z31" s="6">
        <v>138.31949930950481</v>
      </c>
      <c r="AA31" s="5">
        <f t="shared" ca="1" si="6"/>
        <v>4.7066251033866457</v>
      </c>
      <c r="AB31" t="s">
        <v>277</v>
      </c>
    </row>
    <row r="32" spans="1:28" x14ac:dyDescent="0.2">
      <c r="A32" s="3" t="s">
        <v>119</v>
      </c>
      <c r="B32" s="8" t="s">
        <v>126</v>
      </c>
      <c r="C32" t="s">
        <v>129</v>
      </c>
      <c r="D32" t="s">
        <v>167</v>
      </c>
      <c r="E32" t="s">
        <v>161</v>
      </c>
      <c r="F32">
        <v>3</v>
      </c>
      <c r="G32" s="6">
        <f t="shared" ca="1" si="0"/>
        <v>79.274602771860728</v>
      </c>
      <c r="H32" s="6">
        <f t="shared" ca="1" si="1"/>
        <v>75.998889601756872</v>
      </c>
      <c r="I32" s="6">
        <f t="shared" ca="1" si="2"/>
        <v>81.122416877325563</v>
      </c>
      <c r="J32" s="6">
        <f t="shared" ca="1" si="3"/>
        <v>46.983744016518074</v>
      </c>
      <c r="K32" s="6">
        <f t="shared" ca="1" si="4"/>
        <v>75.784206998692341</v>
      </c>
      <c r="L32" s="6">
        <f t="shared" ca="1" si="5"/>
        <v>87.888047203428712</v>
      </c>
      <c r="M32">
        <v>5.9</v>
      </c>
      <c r="N32" t="s">
        <v>235</v>
      </c>
      <c r="O32" t="s">
        <v>244</v>
      </c>
      <c r="P32">
        <v>5.0999999999999996</v>
      </c>
      <c r="Q32">
        <v>1</v>
      </c>
      <c r="R32" s="6">
        <f ca="1" xml:space="preserve"> G32-22*(F32-Q32)</f>
        <v>35.274602771860728</v>
      </c>
      <c r="S32" s="6">
        <f ca="1" xml:space="preserve"> H32-20*(F32-Q32)</f>
        <v>35.998889601756872</v>
      </c>
      <c r="T32" s="6">
        <f ca="1" xml:space="preserve"> I32-24*(F32-Q32)</f>
        <v>33.122416877325563</v>
      </c>
      <c r="U32" s="6">
        <f ca="1" xml:space="preserve"> J32-9*(F32-Q32)</f>
        <v>28.983744016518074</v>
      </c>
      <c r="V32" s="6">
        <f ca="1" xml:space="preserve"> K32-14*(F32-Q32)+ 6*RAND()</f>
        <v>48.090840279198055</v>
      </c>
      <c r="W32" s="6">
        <f ca="1" xml:space="preserve"> L32-27*(F32-Q32)+ 3*RAND()</f>
        <v>34.213811931248735</v>
      </c>
      <c r="X32" s="5">
        <f ca="1">IF(B32 ="upa", M32 +1.5* RAND()*0.8, M32 +1.5* RAND())</f>
        <v>6.4622104680785926</v>
      </c>
      <c r="Y32" s="6">
        <v>1482</v>
      </c>
      <c r="Z32" s="6">
        <v>139.20801830068473</v>
      </c>
      <c r="AA32" s="5">
        <f t="shared" ca="1" si="6"/>
        <v>5.1499208336692881</v>
      </c>
      <c r="AB32" t="s">
        <v>278</v>
      </c>
    </row>
    <row r="33" spans="1:28" x14ac:dyDescent="0.2">
      <c r="A33" s="3" t="s">
        <v>120</v>
      </c>
      <c r="B33" s="7" t="s">
        <v>125</v>
      </c>
      <c r="C33" t="s">
        <v>129</v>
      </c>
      <c r="D33" t="s">
        <v>207</v>
      </c>
      <c r="E33" t="s">
        <v>162</v>
      </c>
      <c r="F33">
        <v>3</v>
      </c>
      <c r="G33" s="6">
        <f t="shared" ca="1" si="0"/>
        <v>77.922446386152941</v>
      </c>
      <c r="H33" s="6">
        <f t="shared" ca="1" si="1"/>
        <v>76.628418335273793</v>
      </c>
      <c r="I33" s="6">
        <f t="shared" ca="1" si="2"/>
        <v>78.641606744849668</v>
      </c>
      <c r="J33" s="6">
        <f t="shared" ca="1" si="3"/>
        <v>49.69097004274407</v>
      </c>
      <c r="K33" s="6">
        <f t="shared" ca="1" si="4"/>
        <v>69.991664797712119</v>
      </c>
      <c r="L33" s="6">
        <f t="shared" ca="1" si="5"/>
        <v>86.142379093178675</v>
      </c>
      <c r="M33">
        <v>6.8</v>
      </c>
      <c r="N33" t="s">
        <v>236</v>
      </c>
      <c r="O33" t="s">
        <v>242</v>
      </c>
      <c r="P33" t="s">
        <v>136</v>
      </c>
      <c r="Q33">
        <v>0</v>
      </c>
      <c r="R33" s="6">
        <f ca="1" xml:space="preserve"> G33-22*(F33-Q33)</f>
        <v>11.922446386152941</v>
      </c>
      <c r="S33" s="6">
        <f ca="1" xml:space="preserve"> H33-20*(F33-Q33)</f>
        <v>16.628418335273793</v>
      </c>
      <c r="T33" s="6">
        <f ca="1" xml:space="preserve"> I33-24*(F33-Q33)</f>
        <v>6.6416067448496676</v>
      </c>
      <c r="U33" s="6">
        <f ca="1" xml:space="preserve"> J33-9*(F33-Q33)</f>
        <v>22.69097004274407</v>
      </c>
      <c r="V33" s="6">
        <f ca="1" xml:space="preserve"> K33-14*(F33-Q33)+ 6*RAND()</f>
        <v>30.851352057449219</v>
      </c>
      <c r="W33" s="6">
        <f ca="1" xml:space="preserve"> L33-27*(F33-Q33)+ 3*RAND()</f>
        <v>5.8404818035657273</v>
      </c>
      <c r="X33" s="5">
        <f ca="1">IF(B33 ="upa", M33 +1.5* RAND()*0.8, M33 +1.5* RAND())</f>
        <v>7.809018528701074</v>
      </c>
      <c r="Y33" s="6">
        <v>23</v>
      </c>
      <c r="Z33" s="6">
        <v>142.49756143952018</v>
      </c>
      <c r="AA33" s="5">
        <v>3.9</v>
      </c>
      <c r="AB33" t="s">
        <v>279</v>
      </c>
    </row>
    <row r="34" spans="1:28" x14ac:dyDescent="0.2">
      <c r="A34" s="3" t="s">
        <v>121</v>
      </c>
      <c r="B34" s="9" t="s">
        <v>127</v>
      </c>
      <c r="C34" t="s">
        <v>129</v>
      </c>
      <c r="D34" t="s">
        <v>167</v>
      </c>
      <c r="E34" t="s">
        <v>163</v>
      </c>
      <c r="F34">
        <v>2</v>
      </c>
      <c r="G34" s="6">
        <f t="shared" ca="1" si="0"/>
        <v>53.662731113723197</v>
      </c>
      <c r="H34" s="6">
        <f t="shared" ca="1" si="1"/>
        <v>51.292893823574886</v>
      </c>
      <c r="I34" s="6">
        <f t="shared" ca="1" si="2"/>
        <v>53.903351438365355</v>
      </c>
      <c r="J34" s="6">
        <f t="shared" ca="1" si="3"/>
        <v>37.317927344245632</v>
      </c>
      <c r="K34" s="6">
        <f t="shared" ca="1" si="4"/>
        <v>55.233866369398477</v>
      </c>
      <c r="L34" s="6">
        <f t="shared" ca="1" si="5"/>
        <v>57.892649960647532</v>
      </c>
      <c r="M34">
        <v>7.8</v>
      </c>
      <c r="N34" t="s">
        <v>237</v>
      </c>
      <c r="O34" t="s">
        <v>245</v>
      </c>
      <c r="P34">
        <v>3.6</v>
      </c>
      <c r="Q34">
        <v>1</v>
      </c>
      <c r="R34" s="6">
        <f ca="1" xml:space="preserve"> G34-22*(F34-Q34)</f>
        <v>31.662731113723197</v>
      </c>
      <c r="S34" s="6">
        <f ca="1" xml:space="preserve"> H34-20*(F34-Q34)</f>
        <v>31.292893823574886</v>
      </c>
      <c r="T34" s="6">
        <f ca="1" xml:space="preserve"> I34-24*(F34-Q34)</f>
        <v>29.903351438365355</v>
      </c>
      <c r="U34" s="6">
        <f ca="1" xml:space="preserve"> J34-9*(F34-Q34)</f>
        <v>28.317927344245632</v>
      </c>
      <c r="V34" s="6">
        <f ca="1" xml:space="preserve"> K34-14*(F34-Q34)+ 6*RAND()</f>
        <v>41.391513276990302</v>
      </c>
      <c r="W34" s="6">
        <f ca="1" xml:space="preserve"> L34-27*(F34-Q34)+ 3*RAND()</f>
        <v>31.871090917842476</v>
      </c>
      <c r="X34" s="5">
        <v>4.5</v>
      </c>
      <c r="Y34" s="6">
        <v>117</v>
      </c>
      <c r="Z34" s="6">
        <v>144.27024257698542</v>
      </c>
      <c r="AA34" s="5">
        <f t="shared" ca="1" si="6"/>
        <v>3.8331611265100407</v>
      </c>
      <c r="AB34" t="s">
        <v>280</v>
      </c>
    </row>
    <row r="35" spans="1:28" x14ac:dyDescent="0.2">
      <c r="A35" s="3" t="s">
        <v>122</v>
      </c>
      <c r="B35" s="9" t="s">
        <v>127</v>
      </c>
      <c r="C35" t="s">
        <v>129</v>
      </c>
      <c r="D35" t="s">
        <v>167</v>
      </c>
      <c r="E35" t="s">
        <v>164</v>
      </c>
      <c r="F35">
        <v>3</v>
      </c>
      <c r="G35" s="6">
        <f t="shared" ca="1" si="0"/>
        <v>76.314701860153889</v>
      </c>
      <c r="H35" s="6">
        <f t="shared" ca="1" si="1"/>
        <v>76.333524554517552</v>
      </c>
      <c r="I35" s="6">
        <f t="shared" ca="1" si="2"/>
        <v>81.963163353685061</v>
      </c>
      <c r="J35" s="6">
        <f t="shared" ca="1" si="3"/>
        <v>42.91066400638757</v>
      </c>
      <c r="K35" s="6">
        <f t="shared" ca="1" si="4"/>
        <v>75.034810848487865</v>
      </c>
      <c r="L35" s="6">
        <f t="shared" ca="1" si="5"/>
        <v>84.119413723450293</v>
      </c>
      <c r="M35">
        <v>6.9</v>
      </c>
      <c r="N35" t="s">
        <v>238</v>
      </c>
      <c r="O35" t="s">
        <v>244</v>
      </c>
      <c r="P35">
        <v>4.2</v>
      </c>
      <c r="Q35">
        <v>2</v>
      </c>
      <c r="R35" s="6">
        <f ca="1" xml:space="preserve"> G35-22*(F35-Q35)</f>
        <v>54.314701860153889</v>
      </c>
      <c r="S35" s="6">
        <f ca="1" xml:space="preserve"> H35-20*(F35-Q35)</f>
        <v>56.333524554517552</v>
      </c>
      <c r="T35" s="6">
        <f ca="1" xml:space="preserve"> I35-24*(F35-Q35)</f>
        <v>57.963163353685061</v>
      </c>
      <c r="U35" s="6">
        <f ca="1" xml:space="preserve"> J35-9*(F35-Q35)</f>
        <v>33.91066400638757</v>
      </c>
      <c r="V35" s="6">
        <f ca="1" xml:space="preserve"> K35-14*(F35-Q35)+ 6*RAND()</f>
        <v>66.986983635361753</v>
      </c>
      <c r="W35" s="6">
        <f ca="1" xml:space="preserve"> L35-27*(F35-Q35)+ 3*RAND()</f>
        <v>59.332379625122833</v>
      </c>
      <c r="X35" s="5">
        <v>4.0999999999999996</v>
      </c>
      <c r="Y35" s="6">
        <v>381</v>
      </c>
      <c r="Z35" s="6">
        <v>139.16192084458575</v>
      </c>
      <c r="AA35" s="5">
        <f t="shared" ca="1" si="6"/>
        <v>4.2813434811430486</v>
      </c>
      <c r="AB35" t="s">
        <v>281</v>
      </c>
    </row>
    <row r="36" spans="1:28" x14ac:dyDescent="0.2">
      <c r="A36" s="3" t="s">
        <v>123</v>
      </c>
      <c r="B36" s="7" t="s">
        <v>125</v>
      </c>
      <c r="C36" t="s">
        <v>129</v>
      </c>
      <c r="D36" t="s">
        <v>167</v>
      </c>
      <c r="E36" t="s">
        <v>165</v>
      </c>
      <c r="F36">
        <v>2</v>
      </c>
      <c r="G36" s="6">
        <f t="shared" ca="1" si="0"/>
        <v>51.870524799397558</v>
      </c>
      <c r="H36" s="6">
        <f t="shared" ca="1" si="1"/>
        <v>54.466231864617441</v>
      </c>
      <c r="I36" s="6">
        <f t="shared" ca="1" si="2"/>
        <v>55.674627484259418</v>
      </c>
      <c r="J36" s="6">
        <f t="shared" ca="1" si="3"/>
        <v>30.056400532867819</v>
      </c>
      <c r="K36" s="6">
        <f t="shared" ca="1" si="4"/>
        <v>56.46943353462084</v>
      </c>
      <c r="L36" s="6">
        <f t="shared" ca="1" si="5"/>
        <v>58.303470193358685</v>
      </c>
      <c r="M36">
        <v>8.4</v>
      </c>
      <c r="N36" t="s">
        <v>239</v>
      </c>
      <c r="O36" t="s">
        <v>247</v>
      </c>
      <c r="P36">
        <v>3.9</v>
      </c>
      <c r="Q36">
        <v>0</v>
      </c>
      <c r="R36" s="6">
        <f ca="1" xml:space="preserve"> G36-22*(F36-Q36)</f>
        <v>7.8705247993975576</v>
      </c>
      <c r="S36" s="6">
        <f ca="1" xml:space="preserve"> H36-20*(F36-Q36)</f>
        <v>14.466231864617441</v>
      </c>
      <c r="T36" s="6">
        <f ca="1" xml:space="preserve"> I36-24*(F36-Q36)</f>
        <v>7.6746274842594175</v>
      </c>
      <c r="U36" s="6">
        <f ca="1" xml:space="preserve"> J36-9*(F36-Q36)</f>
        <v>12.056400532867819</v>
      </c>
      <c r="V36" s="6">
        <f ca="1" xml:space="preserve"> K36-14*(F36-Q36)+ 6*RAND()</f>
        <v>32.577523522702435</v>
      </c>
      <c r="W36" s="6">
        <f ca="1" xml:space="preserve"> L36-27*(F36-Q36)+ 3*RAND()</f>
        <v>5.0495563258368001</v>
      </c>
      <c r="X36" s="5">
        <f ca="1">IF(B36 ="upa", M36 +1.5* RAND()*0.8, M36 +1.5* RAND())</f>
        <v>8.8001846552202068</v>
      </c>
      <c r="Y36" s="6">
        <v>284</v>
      </c>
      <c r="Z36" s="6">
        <v>138.04621520699561</v>
      </c>
      <c r="AA36" s="5">
        <f t="shared" ca="1" si="6"/>
        <v>4.0977917522392087</v>
      </c>
      <c r="AB36" t="s">
        <v>282</v>
      </c>
    </row>
    <row r="37" spans="1:28" x14ac:dyDescent="0.2">
      <c r="A37" s="3" t="s">
        <v>124</v>
      </c>
      <c r="B37" s="8" t="s">
        <v>126</v>
      </c>
      <c r="C37" t="s">
        <v>129</v>
      </c>
      <c r="D37" t="s">
        <v>170</v>
      </c>
      <c r="E37" t="s">
        <v>141</v>
      </c>
      <c r="F37">
        <v>3</v>
      </c>
      <c r="G37" s="6">
        <f t="shared" ca="1" si="0"/>
        <v>77.938051886890108</v>
      </c>
      <c r="H37" s="6">
        <f t="shared" ca="1" si="1"/>
        <v>80.197632262249499</v>
      </c>
      <c r="I37" s="6">
        <f t="shared" ca="1" si="2"/>
        <v>80.579056085113777</v>
      </c>
      <c r="J37" s="6">
        <f t="shared" ca="1" si="3"/>
        <v>47.930254064948123</v>
      </c>
      <c r="K37" s="6">
        <f t="shared" ca="1" si="4"/>
        <v>71.952325764435855</v>
      </c>
      <c r="L37" s="6">
        <f t="shared" ca="1" si="5"/>
        <v>86.40173862664507</v>
      </c>
      <c r="M37">
        <v>6.9</v>
      </c>
      <c r="N37" t="s">
        <v>240</v>
      </c>
      <c r="O37" t="s">
        <v>243</v>
      </c>
      <c r="P37">
        <v>3.8</v>
      </c>
      <c r="Q37">
        <v>0</v>
      </c>
      <c r="R37" s="6">
        <f ca="1" xml:space="preserve"> G37-22*(F37-Q37)</f>
        <v>11.938051886890108</v>
      </c>
      <c r="S37" s="6">
        <f ca="1" xml:space="preserve"> H37-20*(F37-Q37)</f>
        <v>20.197632262249499</v>
      </c>
      <c r="T37" s="6">
        <f ca="1" xml:space="preserve"> I37-24*(F37-Q37)</f>
        <v>8.5790560851137769</v>
      </c>
      <c r="U37" s="6">
        <f ca="1" xml:space="preserve"> J37-9*(F37-Q37)</f>
        <v>20.930254064948123</v>
      </c>
      <c r="V37" s="6">
        <f ca="1" xml:space="preserve"> K37-14*(F37-Q37)+ 6*RAND()</f>
        <v>30.994047935025517</v>
      </c>
      <c r="W37" s="6">
        <f ca="1" xml:space="preserve"> L37-27*(F37-Q37)+ 3*RAND()</f>
        <v>6.598381187766921</v>
      </c>
      <c r="X37" s="5">
        <f ca="1">IF(B37 ="upa", M37 +1.5* RAND()*0.8, M37 +1.5* RAND())</f>
        <v>8.2663233408842984</v>
      </c>
      <c r="Y37" s="6">
        <v>229</v>
      </c>
      <c r="Z37" s="6">
        <v>140.43032186428425</v>
      </c>
      <c r="AA37" s="5">
        <f t="shared" ca="1" si="6"/>
        <v>3.8401819373098594</v>
      </c>
      <c r="AB37" t="s">
        <v>283</v>
      </c>
    </row>
  </sheetData>
  <phoneticPr fontId="3" type="noConversion"/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6A7274-5BC3-874F-A9E9-C89FF8C99B8A}">
  <dimension ref="A1:B16"/>
  <sheetViews>
    <sheetView workbookViewId="0">
      <selection activeCell="A20" sqref="A20"/>
    </sheetView>
  </sheetViews>
  <sheetFormatPr baseColWidth="10" defaultColWidth="10.6640625" defaultRowHeight="16" x14ac:dyDescent="0.2"/>
  <cols>
    <col min="1" max="1" width="43.5" customWidth="1"/>
    <col min="2" max="2" width="32.5" customWidth="1"/>
  </cols>
  <sheetData>
    <row r="1" spans="1:2" x14ac:dyDescent="0.2">
      <c r="A1" t="s">
        <v>175</v>
      </c>
    </row>
    <row r="3" spans="1:2" x14ac:dyDescent="0.2">
      <c r="A3" t="s">
        <v>176</v>
      </c>
      <c r="B3" t="s">
        <v>177</v>
      </c>
    </row>
    <row r="4" spans="1:2" x14ac:dyDescent="0.2">
      <c r="A4" t="s">
        <v>179</v>
      </c>
      <c r="B4" t="s">
        <v>178</v>
      </c>
    </row>
    <row r="5" spans="1:2" x14ac:dyDescent="0.2">
      <c r="A5" t="s">
        <v>180</v>
      </c>
      <c r="B5" t="s">
        <v>181</v>
      </c>
    </row>
    <row r="6" spans="1:2" x14ac:dyDescent="0.2">
      <c r="A6" t="s">
        <v>182</v>
      </c>
      <c r="B6" t="s">
        <v>208</v>
      </c>
    </row>
    <row r="7" spans="1:2" x14ac:dyDescent="0.2">
      <c r="A7" t="s">
        <v>183</v>
      </c>
      <c r="B7" t="s">
        <v>184</v>
      </c>
    </row>
    <row r="8" spans="1:2" x14ac:dyDescent="0.2">
      <c r="A8" t="s">
        <v>185</v>
      </c>
      <c r="B8" t="s">
        <v>186</v>
      </c>
    </row>
    <row r="9" spans="1:2" x14ac:dyDescent="0.2">
      <c r="A9" t="s">
        <v>188</v>
      </c>
      <c r="B9" t="s">
        <v>187</v>
      </c>
    </row>
    <row r="10" spans="1:2" x14ac:dyDescent="0.2">
      <c r="A10" t="s">
        <v>192</v>
      </c>
      <c r="B10" t="s">
        <v>189</v>
      </c>
    </row>
    <row r="11" spans="1:2" x14ac:dyDescent="0.2">
      <c r="A11" t="s">
        <v>194</v>
      </c>
      <c r="B11" t="s">
        <v>193</v>
      </c>
    </row>
    <row r="12" spans="1:2" x14ac:dyDescent="0.2">
      <c r="A12" t="s">
        <v>195</v>
      </c>
      <c r="B12" t="s">
        <v>196</v>
      </c>
    </row>
    <row r="13" spans="1:2" x14ac:dyDescent="0.2">
      <c r="A13" t="s">
        <v>197</v>
      </c>
      <c r="B13" t="s">
        <v>198</v>
      </c>
    </row>
    <row r="14" spans="1:2" x14ac:dyDescent="0.2">
      <c r="A14" t="s">
        <v>199</v>
      </c>
      <c r="B14" t="s">
        <v>201</v>
      </c>
    </row>
    <row r="15" spans="1:2" x14ac:dyDescent="0.2">
      <c r="A15" t="s">
        <v>209</v>
      </c>
      <c r="B15" t="s">
        <v>210</v>
      </c>
    </row>
    <row r="16" spans="1:2" x14ac:dyDescent="0.2">
      <c r="A16" t="s">
        <v>211</v>
      </c>
      <c r="B16" t="s">
        <v>212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Explainer</vt:lpstr>
      <vt:lpstr>Data_Dictionary</vt:lpstr>
      <vt:lpstr>Data</vt:lpstr>
      <vt:lpstr>Problems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David Keyes</cp:lastModifiedBy>
  <dcterms:created xsi:type="dcterms:W3CDTF">2023-03-19T15:13:03Z</dcterms:created>
  <dcterms:modified xsi:type="dcterms:W3CDTF">2025-04-15T22:00:39Z</dcterms:modified>
</cp:coreProperties>
</file>